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dennismuller/Project-Management-Master/We-as-Customer-for-Group4/calculationMatrix/"/>
    </mc:Choice>
  </mc:AlternateContent>
  <xr:revisionPtr revIDLastSave="0" documentId="8_{8ED18148-A587-074B-9E0A-198B5E1C8706}" xr6:coauthVersionLast="31" xr6:coauthVersionMax="31" xr10:uidLastSave="{00000000-0000-0000-0000-000000000000}"/>
  <bookViews>
    <workbookView xWindow="0" yWindow="0" windowWidth="25600" windowHeight="16000"/>
  </bookViews>
  <sheets>
    <sheet name="Logistics_Engineer" sheetId="1" r:id="rId1"/>
    <sheet name="Logistics_Check" sheetId="2" r:id="rId2"/>
    <sheet name="Graph" sheetId="3" r:id="rId3"/>
  </sheets>
  <definedNames>
    <definedName name="_xlnm.Print_Area" localSheetId="0">Logistics_Engineer!$A$1:$X$34</definedName>
  </definedNames>
  <calcPr calcId="179017" fullCalcOnLoad="1"/>
</workbook>
</file>

<file path=xl/calcChain.xml><?xml version="1.0" encoding="utf-8"?>
<calcChain xmlns="http://schemas.openxmlformats.org/spreadsheetml/2006/main">
  <c r="Y10" i="1" l="1"/>
  <c r="Y11" i="1"/>
  <c r="U11" i="1" s="1"/>
  <c r="X11" i="1" s="1"/>
  <c r="Y2" i="1"/>
  <c r="Y5" i="1"/>
  <c r="U5" i="1" s="1"/>
  <c r="X5" i="1" s="1"/>
  <c r="Y6" i="1"/>
  <c r="U6" i="1" s="1"/>
  <c r="X6" i="1" s="1"/>
  <c r="Y15" i="2"/>
  <c r="X15" i="2"/>
  <c r="U15" i="2"/>
  <c r="Y14" i="2"/>
  <c r="U14" i="2"/>
  <c r="X14" i="2" s="1"/>
  <c r="Y13" i="2"/>
  <c r="U13" i="2" s="1"/>
  <c r="X13" i="2" s="1"/>
  <c r="Y10" i="2"/>
  <c r="U10" i="2" s="1"/>
  <c r="X10" i="2" s="1"/>
  <c r="Y9" i="2"/>
  <c r="X9" i="2"/>
  <c r="U9" i="2"/>
  <c r="Y8" i="2"/>
  <c r="U8" i="2"/>
  <c r="X8" i="2" s="1"/>
  <c r="Y4" i="2"/>
  <c r="X4" i="2"/>
  <c r="U4" i="2"/>
  <c r="Y3" i="2"/>
  <c r="U3" i="2"/>
  <c r="X3" i="2" s="1"/>
  <c r="Y2" i="2"/>
  <c r="X2" i="2"/>
  <c r="T19" i="2" s="1"/>
  <c r="U2" i="2"/>
  <c r="Y15" i="1"/>
  <c r="U15" i="1"/>
  <c r="Y14" i="1"/>
  <c r="U14" i="1" s="1"/>
  <c r="X14" i="1" s="1"/>
  <c r="Y13" i="1"/>
  <c r="U13" i="1" s="1"/>
  <c r="X13" i="1" s="1"/>
  <c r="Y9" i="1"/>
  <c r="U9" i="1" s="1"/>
  <c r="X9" i="1" s="1"/>
  <c r="Y8" i="1"/>
  <c r="U8" i="1" s="1"/>
  <c r="Y4" i="1"/>
  <c r="U4" i="1" s="1"/>
  <c r="X4" i="1" s="1"/>
  <c r="Y3" i="1"/>
  <c r="U3" i="1" s="1"/>
  <c r="X3" i="1" s="1"/>
  <c r="U2" i="1"/>
  <c r="X2" i="1" s="1"/>
  <c r="U10" i="1" l="1"/>
  <c r="X10" i="1" s="1"/>
  <c r="J20" i="1" s="1"/>
  <c r="J19" i="1"/>
  <c r="X8" i="1"/>
  <c r="T19" i="1"/>
  <c r="X15" i="1"/>
  <c r="J21" i="1" s="1"/>
  <c r="T20" i="2"/>
  <c r="T31" i="2" s="1"/>
  <c r="J20" i="2"/>
  <c r="T21" i="2"/>
  <c r="J21" i="2"/>
  <c r="T20" i="1"/>
  <c r="J19" i="2"/>
  <c r="U25" i="2" s="1"/>
  <c r="T21" i="1" l="1"/>
  <c r="T31" i="1"/>
  <c r="U25" i="1"/>
</calcChain>
</file>

<file path=xl/sharedStrings.xml><?xml version="1.0" encoding="utf-8"?>
<sst xmlns="http://schemas.openxmlformats.org/spreadsheetml/2006/main" count="322" uniqueCount="165">
  <si>
    <t xml:space="preserve">Task Matching </t>
  </si>
  <si>
    <t>Weight</t>
  </si>
  <si>
    <t>Allocated Availability</t>
  </si>
  <si>
    <t>Max Availability</t>
  </si>
  <si>
    <t>Normalised Availability</t>
  </si>
  <si>
    <t>Actual Availability</t>
  </si>
  <si>
    <t>Task1: Risk Management</t>
  </si>
  <si>
    <t>C111</t>
  </si>
  <si>
    <t>Writing Skills</t>
  </si>
  <si>
    <t>X111</t>
  </si>
  <si>
    <t>C11</t>
  </si>
  <si>
    <t>X11</t>
  </si>
  <si>
    <t>W11</t>
  </si>
  <si>
    <t>A111</t>
  </si>
  <si>
    <t>A' 111</t>
  </si>
  <si>
    <t>A"111</t>
  </si>
  <si>
    <t>C121</t>
  </si>
  <si>
    <t>Language Skills</t>
  </si>
  <si>
    <t>X121</t>
  </si>
  <si>
    <t>C12</t>
  </si>
  <si>
    <t>X12</t>
  </si>
  <si>
    <t>W12</t>
  </si>
  <si>
    <t>A112</t>
  </si>
  <si>
    <t>A' 112</t>
  </si>
  <si>
    <t>A"112</t>
  </si>
  <si>
    <t>C131</t>
  </si>
  <si>
    <t>Interview Skills</t>
  </si>
  <si>
    <t>X131</t>
  </si>
  <si>
    <t>C13</t>
  </si>
  <si>
    <t>X13</t>
  </si>
  <si>
    <t>W13</t>
  </si>
  <si>
    <t>A113</t>
  </si>
  <si>
    <t>A'113</t>
  </si>
  <si>
    <t>A"113</t>
  </si>
  <si>
    <t>C211</t>
  </si>
  <si>
    <t>Risk Awareness</t>
  </si>
  <si>
    <t>X211</t>
  </si>
  <si>
    <t>C14</t>
  </si>
  <si>
    <t>C221</t>
  </si>
  <si>
    <t>Product knowledge</t>
  </si>
  <si>
    <t>X221</t>
  </si>
  <si>
    <t>C15</t>
  </si>
  <si>
    <t>Analytical Skills</t>
  </si>
  <si>
    <t>C311</t>
  </si>
  <si>
    <t>X311</t>
  </si>
  <si>
    <t>C21</t>
  </si>
  <si>
    <t>Market Skills</t>
  </si>
  <si>
    <t>X21</t>
  </si>
  <si>
    <t>W21</t>
  </si>
  <si>
    <t>A121</t>
  </si>
  <si>
    <t>A'121</t>
  </si>
  <si>
    <t>A"121</t>
  </si>
  <si>
    <t>C321</t>
  </si>
  <si>
    <t>X321</t>
  </si>
  <si>
    <t>C22</t>
  </si>
  <si>
    <t>X22</t>
  </si>
  <si>
    <t>W22</t>
  </si>
  <si>
    <t>A122</t>
  </si>
  <si>
    <t>A'122</t>
  </si>
  <si>
    <t>A"122</t>
  </si>
  <si>
    <t>C23</t>
  </si>
  <si>
    <t>Software Skills</t>
  </si>
  <si>
    <t>X23</t>
  </si>
  <si>
    <t>W23</t>
  </si>
  <si>
    <t>A123</t>
  </si>
  <si>
    <t>A'123</t>
  </si>
  <si>
    <t>A"123</t>
  </si>
  <si>
    <t>C24</t>
  </si>
  <si>
    <t>Hardware Skills</t>
  </si>
  <si>
    <t>Task2: Market Amnalysis</t>
  </si>
  <si>
    <t>C112</t>
  </si>
  <si>
    <t>X112</t>
  </si>
  <si>
    <t>C122</t>
  </si>
  <si>
    <t>X122</t>
  </si>
  <si>
    <t>C31</t>
  </si>
  <si>
    <t>Policy experience</t>
  </si>
  <si>
    <t>X31</t>
  </si>
  <si>
    <t>W31</t>
  </si>
  <si>
    <t>A131</t>
  </si>
  <si>
    <t>A'131</t>
  </si>
  <si>
    <t>A"131</t>
  </si>
  <si>
    <t>C32</t>
  </si>
  <si>
    <t>Past successful designs</t>
  </si>
  <si>
    <t>X32</t>
  </si>
  <si>
    <t>W32</t>
  </si>
  <si>
    <t>A132</t>
  </si>
  <si>
    <t>A'132</t>
  </si>
  <si>
    <t>A"132</t>
  </si>
  <si>
    <t>C212</t>
  </si>
  <si>
    <t>X212</t>
  </si>
  <si>
    <t>C33</t>
  </si>
  <si>
    <t>Workforce mgt</t>
  </si>
  <si>
    <t>X33</t>
  </si>
  <si>
    <t>W33</t>
  </si>
  <si>
    <t>A133</t>
  </si>
  <si>
    <t>A'133</t>
  </si>
  <si>
    <t>A"133</t>
  </si>
  <si>
    <t>C222</t>
  </si>
  <si>
    <t>Risk awareness</t>
  </si>
  <si>
    <t>X222</t>
  </si>
  <si>
    <t>C312</t>
  </si>
  <si>
    <t>X312</t>
  </si>
  <si>
    <t>Normalisation (Factor for Impact)</t>
  </si>
  <si>
    <t>Normalisation (Factors for Utilsation)</t>
  </si>
  <si>
    <t>A"11</t>
  </si>
  <si>
    <t>"= R5*I5+R6*I6+R7*I7                     =</t>
  </si>
  <si>
    <t>Task3: Resource Planning</t>
  </si>
  <si>
    <t>C113</t>
  </si>
  <si>
    <t>X113</t>
  </si>
  <si>
    <t>A"12</t>
  </si>
  <si>
    <t>" =X8*O8+X9*O9+X10*O10           =</t>
  </si>
  <si>
    <t>C123</t>
  </si>
  <si>
    <t>X123</t>
  </si>
  <si>
    <t>A"13</t>
  </si>
  <si>
    <t>"=X13*O13+X14*O14+X15*O15    =</t>
  </si>
  <si>
    <t>C213</t>
  </si>
  <si>
    <t>X213</t>
  </si>
  <si>
    <t>C223</t>
  </si>
  <si>
    <t>X223</t>
  </si>
  <si>
    <t>Impact (I ) = -0,326 + 0,234*Ie + 0,436*0,78 + 0,585*0,86</t>
  </si>
  <si>
    <t>IMPACT</t>
  </si>
  <si>
    <t>C313</t>
  </si>
  <si>
    <t>X313</t>
  </si>
  <si>
    <t>C323</t>
  </si>
  <si>
    <t>X323</t>
  </si>
  <si>
    <t xml:space="preserve">Key: A'113 = Ie; A'121 = Ip;  A'133 = Ia </t>
  </si>
  <si>
    <t>C333</t>
  </si>
  <si>
    <t>X333</t>
  </si>
  <si>
    <t>Task3: Customer Appraisal</t>
  </si>
  <si>
    <t>C114</t>
  </si>
  <si>
    <t>Utilisation (U) = -0,326 + 0,234*Aë + 0,234*A"p + 0,585*A"ä</t>
  </si>
  <si>
    <t>UTILISATION</t>
  </si>
  <si>
    <t>C214</t>
  </si>
  <si>
    <t>C224</t>
  </si>
  <si>
    <t>Key: A"ë = A"11;  A"p = A"12;  A"a = A"13</t>
  </si>
  <si>
    <t>C314</t>
  </si>
  <si>
    <t>Impact</t>
  </si>
  <si>
    <t>Utilisation</t>
  </si>
  <si>
    <t>Remarks</t>
  </si>
  <si>
    <t>All Aij = Xij</t>
  </si>
  <si>
    <t>All Aij &gt; Xij by slight margin</t>
  </si>
  <si>
    <t>All Aij &lt;  Xij by slight margin</t>
  </si>
  <si>
    <t>Creativity</t>
  </si>
  <si>
    <t>User Experience</t>
  </si>
  <si>
    <t>Software Architecture</t>
  </si>
  <si>
    <t>Software Design</t>
  </si>
  <si>
    <t>Presentation Skills</t>
  </si>
  <si>
    <t>X14</t>
  </si>
  <si>
    <t>X15</t>
  </si>
  <si>
    <t>W14</t>
  </si>
  <si>
    <t>W15</t>
  </si>
  <si>
    <t>A114</t>
  </si>
  <si>
    <t>A115</t>
  </si>
  <si>
    <t>A'114</t>
  </si>
  <si>
    <t>A'115</t>
  </si>
  <si>
    <t>A"114</t>
  </si>
  <si>
    <t>A"115</t>
  </si>
  <si>
    <t>X24</t>
  </si>
  <si>
    <t>W24</t>
  </si>
  <si>
    <t>A124</t>
  </si>
  <si>
    <t>A'124</t>
  </si>
  <si>
    <t>A"124</t>
  </si>
  <si>
    <t>Task1: Frontend Development</t>
  </si>
  <si>
    <t>Task2: Hardware and Market analysis</t>
  </si>
  <si>
    <t>Task3: Software Architecture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</si>
</sst>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9">
    <font>
      <sz val="11"/>
      <color rgb="FF000000"/>
      <name val="Calibri"/>
      <family val="2"/>
    </font>
    <font>
      <sz val="9"/>
      <color rgb="FF363636"/>
      <name val="Segoe UI"/>
    </font>
    <font>
      <sz val="12"/>
      <color rgb="FF000000"/>
      <name val="Times New Roman"/>
      <family val="1"/>
    </font>
    <font>
      <sz val="10"/>
      <color rgb="FF000000"/>
      <name val="Times New Roman"/>
      <family val="1"/>
    </font>
    <font>
      <sz val="12"/>
      <color rgb="FFFF0000"/>
      <name val="Times New Roman"/>
      <family val="1"/>
    </font>
    <font>
      <sz val="12"/>
      <color rgb="FFC00000"/>
      <name val="Times New Roman"/>
      <family val="1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DFE3E8"/>
        <bgColor rgb="FFDFE3E8"/>
      </patternFill>
    </fill>
    <fill>
      <patternFill patternType="solid">
        <fgColor rgb="FFFDE9D9"/>
        <bgColor rgb="FFFDE9D9"/>
      </patternFill>
    </fill>
    <fill>
      <patternFill patternType="solid">
        <fgColor rgb="FFCCFF33"/>
        <bgColor rgb="FFCCFF33"/>
      </patternFill>
    </fill>
    <fill>
      <patternFill patternType="solid">
        <fgColor rgb="FFFFFF99"/>
        <bgColor rgb="FFFFFF99"/>
      </patternFill>
    </fill>
    <fill>
      <patternFill patternType="solid">
        <fgColor rgb="FFD7E4BC"/>
        <bgColor rgb="FFD7E4BC"/>
      </patternFill>
    </fill>
    <fill>
      <patternFill patternType="solid">
        <fgColor rgb="FFFFFFFF"/>
        <bgColor rgb="FFFFFFFF"/>
      </patternFill>
    </fill>
    <fill>
      <patternFill patternType="solid">
        <fgColor rgb="FFCCC0DA"/>
        <bgColor rgb="FFCCC0DA"/>
      </patternFill>
    </fill>
    <fill>
      <patternFill patternType="solid">
        <fgColor rgb="FF92D050"/>
        <bgColor rgb="FF92D050"/>
      </patternFill>
    </fill>
  </fills>
  <borders count="20">
    <border>
      <left/>
      <right/>
      <top/>
      <bottom/>
      <diagonal/>
    </border>
    <border>
      <left style="thin">
        <color rgb="FFB1BBCC"/>
      </left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B1BBCC"/>
      </left>
      <right style="thin">
        <color rgb="FF000000"/>
      </right>
      <top style="thin">
        <color rgb="FFB1BBCC"/>
      </top>
      <bottom style="thin">
        <color rgb="FFB1BBCC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B1BBCC"/>
      </left>
      <right style="thin">
        <color rgb="FFB1BBCC"/>
      </right>
      <top style="thin">
        <color rgb="FFB1BBCC"/>
      </top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B1BBCC"/>
      </left>
      <right style="thin">
        <color rgb="FFB1BBCC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B1BBCC"/>
      </left>
      <right/>
      <top style="thin">
        <color rgb="FFB1BBCC"/>
      </top>
      <bottom style="thin">
        <color rgb="FFB1BBCC"/>
      </bottom>
      <diagonal/>
    </border>
  </borders>
  <cellStyleXfs count="1">
    <xf numFmtId="0" fontId="0" fillId="0" borderId="0"/>
  </cellStyleXfs>
  <cellXfs count="61">
    <xf numFmtId="0" fontId="0" fillId="0" borderId="0" xfId="0"/>
    <xf numFmtId="0" fontId="0" fillId="0" borderId="0" xfId="0" applyFill="1" applyAlignment="1"/>
    <xf numFmtId="0" fontId="0" fillId="6" borderId="4" xfId="0" applyFill="1" applyBorder="1" applyAlignment="1">
      <alignment wrapText="1"/>
    </xf>
    <xf numFmtId="0" fontId="2" fillId="0" borderId="4" xfId="0" applyFont="1" applyBorder="1"/>
    <xf numFmtId="0" fontId="2" fillId="0" borderId="0" xfId="0" applyFont="1"/>
    <xf numFmtId="0" fontId="2" fillId="3" borderId="0" xfId="0" applyFont="1" applyFill="1"/>
    <xf numFmtId="0" fontId="0" fillId="4" borderId="4" xfId="0" applyFill="1" applyBorder="1"/>
    <xf numFmtId="0" fontId="2" fillId="4" borderId="4" xfId="0" applyFont="1" applyFill="1" applyBorder="1"/>
    <xf numFmtId="0" fontId="0" fillId="5" borderId="4" xfId="0" applyFill="1" applyBorder="1"/>
    <xf numFmtId="2" fontId="0" fillId="5" borderId="4" xfId="0" applyNumberFormat="1" applyFill="1" applyBorder="1"/>
    <xf numFmtId="0" fontId="0" fillId="3" borderId="4" xfId="0" applyFill="1" applyBorder="1"/>
    <xf numFmtId="0" fontId="0" fillId="3" borderId="6" xfId="0" applyFill="1" applyBorder="1"/>
    <xf numFmtId="2" fontId="0" fillId="6" borderId="4" xfId="0" applyNumberFormat="1" applyFill="1" applyBorder="1"/>
    <xf numFmtId="2" fontId="0" fillId="0" borderId="0" xfId="0" applyNumberFormat="1"/>
    <xf numFmtId="0" fontId="2" fillId="0" borderId="4" xfId="0" applyFont="1" applyBorder="1" applyAlignment="1">
      <alignment wrapText="1"/>
    </xf>
    <xf numFmtId="0" fontId="2" fillId="7" borderId="7" xfId="0" applyFont="1" applyFill="1" applyBorder="1" applyAlignment="1">
      <alignment vertical="center" wrapText="1"/>
    </xf>
    <xf numFmtId="0" fontId="2" fillId="0" borderId="0" xfId="0" applyFont="1" applyAlignment="1"/>
    <xf numFmtId="0" fontId="0" fillId="7" borderId="9" xfId="0" applyFont="1" applyFill="1" applyBorder="1" applyAlignment="1">
      <alignment vertical="center" wrapText="1"/>
    </xf>
    <xf numFmtId="0" fontId="0" fillId="3" borderId="0" xfId="0" applyFill="1"/>
    <xf numFmtId="0" fontId="2" fillId="0" borderId="10" xfId="0" applyFont="1" applyBorder="1"/>
    <xf numFmtId="2" fontId="2" fillId="0" borderId="4" xfId="0" applyNumberFormat="1" applyFont="1" applyBorder="1" applyAlignment="1"/>
    <xf numFmtId="0" fontId="0" fillId="0" borderId="4" xfId="0" applyBorder="1"/>
    <xf numFmtId="0" fontId="2" fillId="0" borderId="10" xfId="0" applyFont="1" applyFill="1" applyBorder="1"/>
    <xf numFmtId="0" fontId="2" fillId="0" borderId="12" xfId="0" applyFont="1" applyFill="1" applyBorder="1"/>
    <xf numFmtId="0" fontId="6" fillId="0" borderId="0" xfId="0" applyFont="1"/>
    <xf numFmtId="0" fontId="6" fillId="0" borderId="0" xfId="0" applyFont="1" applyAlignment="1"/>
    <xf numFmtId="0" fontId="0" fillId="0" borderId="4" xfId="0" applyBorder="1" applyAlignment="1">
      <alignment wrapText="1"/>
    </xf>
    <xf numFmtId="0" fontId="1" fillId="2" borderId="1" xfId="0" applyFon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0" fillId="4" borderId="2" xfId="0" applyFill="1" applyBorder="1" applyAlignment="1">
      <alignment horizontal="center" wrapText="1"/>
    </xf>
    <xf numFmtId="0" fontId="0" fillId="5" borderId="2" xfId="0" applyFill="1" applyBorder="1" applyAlignment="1">
      <alignment horizontal="center" wrapText="1"/>
    </xf>
    <xf numFmtId="0" fontId="0" fillId="3" borderId="3" xfId="0" applyFill="1" applyBorder="1" applyAlignment="1">
      <alignment horizontal="center" wrapText="1"/>
    </xf>
    <xf numFmtId="0" fontId="2" fillId="7" borderId="5" xfId="0" applyFont="1" applyFill="1" applyBorder="1" applyAlignment="1">
      <alignment horizontal="center" vertical="center" textRotation="180" wrapText="1"/>
    </xf>
    <xf numFmtId="0" fontId="2" fillId="7" borderId="4" xfId="0" applyFont="1" applyFill="1" applyBorder="1" applyAlignment="1">
      <alignment horizontal="center" vertical="center" textRotation="180" wrapText="1"/>
    </xf>
    <xf numFmtId="0" fontId="0" fillId="0" borderId="0" xfId="0"/>
    <xf numFmtId="0" fontId="2" fillId="0" borderId="8" xfId="0" applyFont="1" applyFill="1" applyBorder="1" applyAlignment="1">
      <alignment horizontal="center" wrapText="1"/>
    </xf>
    <xf numFmtId="0" fontId="2" fillId="0" borderId="2" xfId="0" applyFont="1" applyFill="1" applyBorder="1" applyAlignment="1">
      <alignment horizontal="center"/>
    </xf>
    <xf numFmtId="2" fontId="2" fillId="0" borderId="11" xfId="0" applyNumberFormat="1" applyFont="1" applyFill="1" applyBorder="1" applyAlignment="1">
      <alignment horizontal="center"/>
    </xf>
    <xf numFmtId="2" fontId="3" fillId="0" borderId="4" xfId="0" applyNumberFormat="1" applyFont="1" applyFill="1" applyBorder="1" applyAlignment="1"/>
    <xf numFmtId="0" fontId="0" fillId="7" borderId="4" xfId="0" applyFont="1" applyFill="1" applyBorder="1" applyAlignment="1">
      <alignment horizontal="center" vertical="center" textRotation="180" wrapText="1"/>
    </xf>
    <xf numFmtId="2" fontId="0" fillId="0" borderId="11" xfId="0" applyNumberFormat="1" applyFill="1" applyBorder="1" applyAlignment="1">
      <alignment horizontal="center"/>
    </xf>
    <xf numFmtId="2" fontId="0" fillId="0" borderId="13" xfId="0" applyNumberFormat="1" applyFill="1" applyBorder="1" applyAlignment="1">
      <alignment horizontal="center"/>
    </xf>
    <xf numFmtId="0" fontId="4" fillId="8" borderId="14" xfId="0" applyFont="1" applyFill="1" applyBorder="1" applyAlignment="1">
      <alignment horizontal="left"/>
    </xf>
    <xf numFmtId="0" fontId="5" fillId="8" borderId="4" xfId="0" applyFont="1" applyFill="1" applyBorder="1" applyAlignment="1">
      <alignment horizontal="center"/>
    </xf>
    <xf numFmtId="2" fontId="5" fillId="8" borderId="4" xfId="0" applyNumberFormat="1" applyFont="1" applyFill="1" applyBorder="1" applyAlignment="1">
      <alignment horizontal="center"/>
    </xf>
    <xf numFmtId="0" fontId="5" fillId="8" borderId="0" xfId="0" applyFont="1" applyFill="1" applyAlignment="1">
      <alignment horizontal="left"/>
    </xf>
    <xf numFmtId="0" fontId="0" fillId="0" borderId="4" xfId="0" applyFill="1" applyBorder="1" applyAlignment="1">
      <alignment horizontal="center" textRotation="255" wrapText="1"/>
    </xf>
    <xf numFmtId="0" fontId="4" fillId="9" borderId="15" xfId="0" applyFont="1" applyFill="1" applyBorder="1" applyAlignment="1">
      <alignment horizontal="left"/>
    </xf>
    <xf numFmtId="0" fontId="4" fillId="9" borderId="16" xfId="0" applyFont="1" applyFill="1" applyBorder="1" applyAlignment="1">
      <alignment horizontal="left"/>
    </xf>
    <xf numFmtId="2" fontId="7" fillId="9" borderId="13" xfId="0" applyNumberFormat="1" applyFont="1" applyFill="1" applyBorder="1" applyAlignment="1">
      <alignment horizontal="left"/>
    </xf>
    <xf numFmtId="0" fontId="4" fillId="9" borderId="0" xfId="0" applyFont="1" applyFill="1" applyAlignment="1">
      <alignment horizontal="left"/>
    </xf>
    <xf numFmtId="0" fontId="8" fillId="0" borderId="4" xfId="0" applyFont="1" applyBorder="1"/>
    <xf numFmtId="0" fontId="8" fillId="0" borderId="0" xfId="0" applyFont="1"/>
    <xf numFmtId="0" fontId="0" fillId="7" borderId="6" xfId="0" applyFont="1" applyFill="1" applyBorder="1" applyAlignment="1">
      <alignment horizontal="center" vertical="center" textRotation="180" wrapText="1"/>
    </xf>
    <xf numFmtId="0" fontId="0" fillId="0" borderId="18" xfId="0" applyBorder="1"/>
    <xf numFmtId="0" fontId="0" fillId="0" borderId="18" xfId="0" applyBorder="1" applyAlignment="1">
      <alignment wrapText="1"/>
    </xf>
    <xf numFmtId="0" fontId="0" fillId="0" borderId="17" xfId="0" applyBorder="1"/>
    <xf numFmtId="0" fontId="2" fillId="7" borderId="6" xfId="0" applyFont="1" applyFill="1" applyBorder="1" applyAlignment="1">
      <alignment horizontal="center" vertical="center" textRotation="180" wrapText="1"/>
    </xf>
    <xf numFmtId="0" fontId="2" fillId="0" borderId="17" xfId="0" applyFont="1" applyBorder="1"/>
    <xf numFmtId="0" fontId="2" fillId="7" borderId="19" xfId="0" applyFont="1" applyFill="1" applyBorder="1" applyAlignment="1">
      <alignment horizontal="center" vertical="center" textRotation="180" wrapText="1"/>
    </xf>
    <xf numFmtId="0" fontId="2" fillId="0" borderId="18" xfId="0" applyFont="1" applyBorder="1"/>
  </cellXfs>
  <cellStyles count="1">
    <cellStyle name="Standard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c:style val="2"/>
  <c:chart>
    <c:title>
      <c:tx>
        <c:rich>
          <a:bodyPr lIns="0" tIns="0" rIns="0" bIns="0"/>
          <a:lstStyle/>
          <a:p>
            <a:pPr marL="0" marR="0" indent="0" algn="ctr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800" b="1" i="0" u="none" strike="noStrike" kern="1200" baseline="0">
                <a:solidFill>
                  <a:srgbClr val="000000"/>
                </a:solidFill>
                <a:latin typeface="Calibri"/>
              </a:defRPr>
            </a:pPr>
            <a:r>
              <a:rPr lang="de-DE" sz="1800" b="1" i="0" u="none" strike="noStrike" kern="1200" cap="none" spc="0" baseline="0">
                <a:solidFill>
                  <a:srgbClr val="000000"/>
                </a:solidFill>
                <a:uFillTx/>
                <a:latin typeface="+mn-lt"/>
                <a:ea typeface="+mn-ea"/>
                <a:cs typeface="+mn-cs"/>
              </a:rPr>
              <a:t>Resource Impact vs Utilisation</a:t>
            </a:r>
          </a:p>
        </c:rich>
      </c:tx>
      <c:overlay val="0"/>
      <c:spPr>
        <a:noFill/>
        <a:ln>
          <a:noFill/>
        </a:ln>
      </c:spPr>
    </c:title>
    <c:autoTitleDeleted val="0"/>
    <c:plotArea>
      <c:layout>
        <c:manualLayout>
          <c:xMode val="edge"/>
          <c:yMode val="edge"/>
          <c:x val="7.8287461773700301E-2"/>
          <c:y val="0.14253302591319733"/>
          <c:w val="0.70513751836066363"/>
          <c:h val="0.72258290918055135"/>
        </c:manualLayout>
      </c:layout>
      <c:lineChart>
        <c:grouping val="standard"/>
        <c:varyColors val="0"/>
        <c:ser>
          <c:idx val="0"/>
          <c:order val="0"/>
          <c:tx>
            <c:strRef>
              <c:f>Graph!$D$2:$D$2</c:f>
              <c:strCache>
                <c:ptCount val="1"/>
                <c:pt idx="0">
                  <c:v>Utilisation</c:v>
                </c:pt>
              </c:strCache>
            </c:strRef>
          </c:tx>
          <c:spPr>
            <a:ln w="28575">
              <a:solidFill>
                <a:srgbClr val="4A7EBB"/>
              </a:solidFill>
              <a:prstDash val="solid"/>
              <a:round/>
            </a:ln>
          </c:spPr>
          <c:marker>
            <c:symbol val="none"/>
          </c:marker>
          <c:cat>
            <c:numRef>
              <c:f>Graph!$D$3:$D$7</c:f>
              <c:numCache>
                <c:formatCode>General</c:formatCode>
                <c:ptCount val="5"/>
                <c:pt idx="0">
                  <c:v>0.74</c:v>
                </c:pt>
                <c:pt idx="1">
                  <c:v>0.76</c:v>
                </c:pt>
                <c:pt idx="2">
                  <c:v>0.8</c:v>
                </c:pt>
                <c:pt idx="3">
                  <c:v>0.84</c:v>
                </c:pt>
                <c:pt idx="4">
                  <c:v>0.88</c:v>
                </c:pt>
              </c:numCache>
            </c:numRef>
          </c:cat>
          <c:val>
            <c:numRef>
              <c:f>Graph!$D$3:$D$7</c:f>
              <c:numCache>
                <c:formatCode>General</c:formatCode>
                <c:ptCount val="5"/>
                <c:pt idx="0">
                  <c:v>0.74</c:v>
                </c:pt>
                <c:pt idx="1">
                  <c:v>0.76</c:v>
                </c:pt>
                <c:pt idx="2">
                  <c:v>0.8</c:v>
                </c:pt>
                <c:pt idx="3">
                  <c:v>0.84</c:v>
                </c:pt>
                <c:pt idx="4">
                  <c:v>0.88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96746687"/>
        <c:axId val="412575151"/>
      </c:lineChart>
      <c:valAx>
        <c:axId val="412575151"/>
        <c:scaling>
          <c:orientation val="minMax"/>
          <c:max val="0.9"/>
          <c:min val="0.65000000000000013"/>
        </c:scaling>
        <c:delete val="0"/>
        <c:axPos val="l"/>
        <c:majorGridlines>
          <c:spPr>
            <a:ln w="9528">
              <a:solidFill>
                <a:srgbClr val="868686"/>
              </a:solidFill>
              <a:prstDash val="solid"/>
              <a:round/>
            </a:ln>
          </c:spPr>
        </c:majorGridlines>
        <c:minorGridlines>
          <c:spPr>
            <a:ln w="9528">
              <a:solidFill>
                <a:srgbClr val="B7B7B7"/>
              </a:solidFill>
              <a:prstDash val="solid"/>
              <a:round/>
            </a:ln>
          </c:spPr>
        </c:minorGridlines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000" b="1" i="0" u="none" strike="noStrike" kern="120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 sz="1000" b="1" i="0" u="none" strike="noStrike" kern="1200" cap="none" spc="0" baseline="0"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</a:rPr>
                  <a:t>Impact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noFill/>
          <a:ln w="9528">
            <a:solidFill>
              <a:srgbClr val="868686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396746687"/>
        <c:crosses val="autoZero"/>
        <c:crossBetween val="between"/>
      </c:valAx>
      <c:catAx>
        <c:axId val="396746687"/>
        <c:scaling>
          <c:orientation val="minMax"/>
        </c:scaling>
        <c:delete val="0"/>
        <c:axPos val="b"/>
        <c:title>
          <c:tx>
            <c:rich>
              <a:bodyPr lIns="0" tIns="0" rIns="0" bIns="0"/>
              <a:lstStyle/>
              <a:p>
                <a:pPr marL="0" marR="0" indent="0" algn="ctr" defTabSz="914400" fontAlgn="auto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tabLst/>
                  <a:defRPr sz="1000" b="1" i="0" u="none" strike="noStrike" kern="1200" baseline="0">
                    <a:solidFill>
                      <a:srgbClr val="000000"/>
                    </a:solidFill>
                    <a:latin typeface="Calibri"/>
                  </a:defRPr>
                </a:pPr>
                <a:r>
                  <a:rPr lang="de-DE" sz="1000" b="1" i="0" u="none" strike="noStrike" kern="1200" cap="none" spc="0" baseline="0">
                    <a:solidFill>
                      <a:srgbClr val="000000"/>
                    </a:solidFill>
                    <a:uFillTx/>
                    <a:latin typeface="+mn-lt"/>
                    <a:ea typeface="+mn-ea"/>
                    <a:cs typeface="+mn-cs"/>
                  </a:rPr>
                  <a:t>Utilisation</a:t>
                </a:r>
              </a:p>
            </c:rich>
          </c:tx>
          <c:overlay val="0"/>
          <c:spPr>
            <a:noFill/>
            <a:ln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noFill/>
          <a:ln w="9528">
            <a:solidFill>
              <a:srgbClr val="868686"/>
            </a:solidFill>
            <a:prstDash val="solid"/>
            <a:round/>
          </a:ln>
        </c:spPr>
        <c:txPr>
          <a:bodyPr lIns="0" tIns="0" rIns="0" bIns="0"/>
          <a:lstStyle/>
          <a:p>
            <a:pPr marL="0" marR="0" indent="0" defTabSz="914400" fontAlgn="auto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tabLst/>
              <a:defRPr sz="1000" b="0" i="0" u="none" strike="noStrike" kern="1200" baseline="0">
                <a:solidFill>
                  <a:srgbClr val="000000"/>
                </a:solidFill>
                <a:latin typeface="Calibri"/>
              </a:defRPr>
            </a:pPr>
            <a:endParaRPr lang="de-DE"/>
          </a:p>
        </c:txPr>
        <c:crossAx val="412575151"/>
        <c:crossesAt val="0"/>
        <c:auto val="1"/>
        <c:lblAlgn val="ctr"/>
        <c:lblOffset val="100"/>
        <c:noMultiLvlLbl val="0"/>
      </c:catAx>
      <c:spPr>
        <a:solidFill>
          <a:srgbClr val="FFFFFF"/>
        </a:solidFill>
        <a:ln>
          <a:noFill/>
        </a:ln>
      </c:spPr>
    </c:plotArea>
    <c:legend>
      <c:legendPos val="r"/>
      <c:layout>
        <c:manualLayout>
          <c:xMode val="edge"/>
          <c:yMode val="edge"/>
          <c:x val="0.32348614221387467"/>
          <c:y val="0.18856745116805149"/>
        </c:manualLayout>
      </c:layout>
      <c:overlay val="0"/>
      <c:spPr>
        <a:noFill/>
        <a:ln>
          <a:noFill/>
        </a:ln>
      </c:spPr>
      <c:txPr>
        <a:bodyPr lIns="0" tIns="0" rIns="0" bIns="0"/>
        <a:lstStyle/>
        <a:p>
          <a:pPr marL="0" marR="0" indent="0" defTabSz="914400" fontAlgn="auto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tabLst/>
            <a:defRPr sz="1000" b="0" i="0" u="none" strike="noStrike" kern="1200" baseline="0">
              <a:solidFill>
                <a:srgbClr val="000000"/>
              </a:solidFill>
              <a:latin typeface="Calibri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rgbClr val="FFFFFF"/>
    </a:solidFill>
    <a:ln w="9528">
      <a:solidFill>
        <a:srgbClr val="868686"/>
      </a:solidFill>
      <a:prstDash val="solid"/>
      <a:round/>
    </a:ln>
  </c:spPr>
  <c:txPr>
    <a:bodyPr lIns="0" tIns="0" rIns="0" bIns="0"/>
    <a:lstStyle/>
    <a:p>
      <a:pPr marL="0" marR="0" indent="0" algn="ctr" defTabSz="914400" fontAlgn="auto" hangingPunct="1">
        <a:lnSpc>
          <a:spcPct val="100000"/>
        </a:lnSpc>
        <a:spcBef>
          <a:spcPts val="0"/>
        </a:spcBef>
        <a:spcAft>
          <a:spcPts val="0"/>
        </a:spcAft>
        <a:tabLst/>
        <a:defRPr lang="en-US" sz="1000" b="0" i="0" u="none" strike="noStrike" kern="1200" baseline="0">
          <a:solidFill>
            <a:srgbClr val="000000"/>
          </a:solidFill>
          <a:latin typeface="Calibri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247646</xdr:colOff>
      <xdr:row>1</xdr:row>
      <xdr:rowOff>0</xdr:rowOff>
    </xdr:from>
    <xdr:ext cx="5191121" cy="3448046"/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325AFF48-9529-7A45-831C-B0F0F53EF3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4"/>
  <sheetViews>
    <sheetView tabSelected="1" workbookViewId="0">
      <selection activeCell="Q23" sqref="Q23"/>
    </sheetView>
  </sheetViews>
  <sheetFormatPr baseColWidth="10" defaultColWidth="10.6640625" defaultRowHeight="15"/>
  <cols>
    <col min="1" max="1" width="8" customWidth="1"/>
    <col min="2" max="2" width="7.5" customWidth="1"/>
    <col min="3" max="3" width="23.6640625" customWidth="1"/>
    <col min="4" max="4" width="2.5" customWidth="1"/>
    <col min="5" max="5" width="8.1640625" customWidth="1"/>
    <col min="6" max="6" width="8.5" customWidth="1"/>
    <col min="7" max="7" width="2.5" customWidth="1"/>
    <col min="8" max="8" width="5.5" customWidth="1"/>
    <col min="9" max="9" width="19.1640625" customWidth="1"/>
    <col min="10" max="10" width="2.83203125" customWidth="1"/>
    <col min="11" max="11" width="7.83203125" customWidth="1"/>
    <col min="12" max="12" width="8.1640625" customWidth="1"/>
    <col min="13" max="13" width="6.5" customWidth="1"/>
    <col min="14" max="14" width="7.33203125" customWidth="1"/>
    <col min="15" max="15" width="7.83203125" customWidth="1"/>
    <col min="16" max="16" width="3.1640625" customWidth="1"/>
    <col min="17" max="17" width="7.5" customWidth="1"/>
    <col min="18" max="18" width="8" customWidth="1"/>
    <col min="19" max="19" width="5" customWidth="1"/>
    <col min="20" max="20" width="7" customWidth="1"/>
    <col min="21" max="21" width="6.83203125" customWidth="1"/>
    <col min="22" max="22" width="1.83203125" customWidth="1"/>
    <col min="23" max="23" width="8.33203125" customWidth="1"/>
    <col min="24" max="24" width="6.5" customWidth="1"/>
    <col min="25" max="25" width="13.83203125" customWidth="1"/>
    <col min="26" max="26" width="10.6640625" customWidth="1"/>
  </cols>
  <sheetData>
    <row r="1" spans="1:25" ht="59.25" customHeight="1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N1" s="28" t="s">
        <v>1</v>
      </c>
      <c r="O1" s="28"/>
      <c r="Q1" s="29" t="s">
        <v>2</v>
      </c>
      <c r="R1" s="29"/>
      <c r="S1" s="1"/>
      <c r="T1" s="30" t="s">
        <v>3</v>
      </c>
      <c r="U1" s="30"/>
      <c r="V1" s="1"/>
      <c r="W1" s="31" t="s">
        <v>4</v>
      </c>
      <c r="X1" s="31"/>
      <c r="Y1" s="2" t="s">
        <v>5</v>
      </c>
    </row>
    <row r="2" spans="1:25" ht="16">
      <c r="A2" s="32" t="s">
        <v>162</v>
      </c>
      <c r="B2" s="3" t="s">
        <v>7</v>
      </c>
      <c r="C2" s="3" t="s">
        <v>61</v>
      </c>
      <c r="D2" s="4"/>
      <c r="E2" s="3" t="s">
        <v>9</v>
      </c>
      <c r="F2" s="3">
        <v>0.4</v>
      </c>
      <c r="G2" s="5"/>
      <c r="H2" s="3" t="s">
        <v>10</v>
      </c>
      <c r="I2" s="3" t="s">
        <v>61</v>
      </c>
      <c r="J2" s="4"/>
      <c r="K2" s="3" t="s">
        <v>11</v>
      </c>
      <c r="L2" s="3">
        <v>0.8</v>
      </c>
      <c r="M2" s="4"/>
      <c r="N2" s="3" t="s">
        <v>12</v>
      </c>
      <c r="O2" s="3">
        <v>0.2</v>
      </c>
      <c r="Q2" s="6" t="s">
        <v>13</v>
      </c>
      <c r="R2" s="7">
        <v>0.8</v>
      </c>
      <c r="T2" s="8" t="s">
        <v>14</v>
      </c>
      <c r="U2" s="9">
        <f>IF(R2/L2&lt;=1,Y2,1)</f>
        <v>1</v>
      </c>
      <c r="W2" s="10" t="s">
        <v>15</v>
      </c>
      <c r="X2" s="11">
        <f>U2/Y2</f>
        <v>1</v>
      </c>
      <c r="Y2" s="12">
        <f>R2/L2</f>
        <v>1</v>
      </c>
    </row>
    <row r="3" spans="1:25" ht="16">
      <c r="A3" s="32"/>
      <c r="B3" s="3" t="s">
        <v>16</v>
      </c>
      <c r="C3" s="3" t="s">
        <v>17</v>
      </c>
      <c r="D3" s="4"/>
      <c r="E3" s="3" t="s">
        <v>18</v>
      </c>
      <c r="F3" s="3">
        <v>0.4</v>
      </c>
      <c r="G3" s="5"/>
      <c r="H3" s="3" t="s">
        <v>19</v>
      </c>
      <c r="I3" s="3" t="s">
        <v>68</v>
      </c>
      <c r="J3" s="4"/>
      <c r="K3" s="3" t="s">
        <v>20</v>
      </c>
      <c r="L3" s="3">
        <v>0.2</v>
      </c>
      <c r="M3" s="4"/>
      <c r="N3" s="3" t="s">
        <v>21</v>
      </c>
      <c r="O3" s="3">
        <v>0.3</v>
      </c>
      <c r="Q3" s="6" t="s">
        <v>22</v>
      </c>
      <c r="R3" s="7">
        <v>0.1</v>
      </c>
      <c r="T3" s="8" t="s">
        <v>23</v>
      </c>
      <c r="U3" s="9">
        <f>IF(R3/L3&lt;=1,Y3,1)</f>
        <v>0.5</v>
      </c>
      <c r="W3" s="10" t="s">
        <v>24</v>
      </c>
      <c r="X3" s="11">
        <f>U3/Y3</f>
        <v>1</v>
      </c>
      <c r="Y3" s="12">
        <f>R3/L3</f>
        <v>0.5</v>
      </c>
    </row>
    <row r="4" spans="1:25" ht="16">
      <c r="A4" s="32"/>
      <c r="B4" s="3" t="s">
        <v>25</v>
      </c>
      <c r="C4" s="3" t="s">
        <v>142</v>
      </c>
      <c r="D4" s="4"/>
      <c r="E4" s="3" t="s">
        <v>27</v>
      </c>
      <c r="F4" s="3">
        <v>0.9</v>
      </c>
      <c r="G4" s="5"/>
      <c r="H4" s="3" t="s">
        <v>28</v>
      </c>
      <c r="I4" s="3" t="s">
        <v>46</v>
      </c>
      <c r="J4" s="4"/>
      <c r="K4" s="3" t="s">
        <v>29</v>
      </c>
      <c r="L4" s="3">
        <v>0.3</v>
      </c>
      <c r="M4" s="4"/>
      <c r="N4" s="3" t="s">
        <v>30</v>
      </c>
      <c r="O4" s="3">
        <v>0.2</v>
      </c>
      <c r="Q4" s="6" t="s">
        <v>31</v>
      </c>
      <c r="R4" s="7">
        <v>0.1</v>
      </c>
      <c r="T4" s="8" t="s">
        <v>32</v>
      </c>
      <c r="U4" s="9">
        <f>IF(R4/L4&lt;=1,Y4,1)</f>
        <v>0.33333333333333337</v>
      </c>
      <c r="W4" s="10" t="s">
        <v>33</v>
      </c>
      <c r="X4" s="11">
        <f>U4/Y4</f>
        <v>1</v>
      </c>
      <c r="Y4" s="12">
        <f>R4/L4</f>
        <v>0.33333333333333337</v>
      </c>
    </row>
    <row r="5" spans="1:25" ht="16">
      <c r="A5" s="32"/>
      <c r="B5" s="3" t="s">
        <v>34</v>
      </c>
      <c r="C5" s="3" t="s">
        <v>143</v>
      </c>
      <c r="D5" s="4"/>
      <c r="E5" s="3" t="s">
        <v>36</v>
      </c>
      <c r="F5" s="3">
        <v>0.6</v>
      </c>
      <c r="G5" s="5"/>
      <c r="H5" s="3" t="s">
        <v>37</v>
      </c>
      <c r="I5" s="3" t="s">
        <v>144</v>
      </c>
      <c r="J5" s="4"/>
      <c r="K5" s="3" t="s">
        <v>147</v>
      </c>
      <c r="L5" s="3">
        <v>0.7</v>
      </c>
      <c r="M5" s="4"/>
      <c r="N5" s="3" t="s">
        <v>149</v>
      </c>
      <c r="O5" s="3">
        <v>0.2</v>
      </c>
      <c r="Q5" s="6" t="s">
        <v>151</v>
      </c>
      <c r="R5" s="7">
        <v>0.2</v>
      </c>
      <c r="T5" s="8" t="s">
        <v>153</v>
      </c>
      <c r="U5" s="9">
        <f t="shared" ref="U5:U6" si="0">IF(R5/L5&lt;=1,Y5,1)</f>
        <v>0.28571428571428575</v>
      </c>
      <c r="W5" s="10" t="s">
        <v>155</v>
      </c>
      <c r="X5" s="11">
        <f t="shared" ref="X5:X6" si="1">U5/Y5</f>
        <v>1</v>
      </c>
      <c r="Y5" s="12">
        <f t="shared" ref="Y5:Y6" si="2">R5/L5</f>
        <v>0.28571428571428575</v>
      </c>
    </row>
    <row r="6" spans="1:25" ht="18" customHeight="1">
      <c r="A6" s="32"/>
      <c r="B6" s="3" t="s">
        <v>38</v>
      </c>
      <c r="C6" s="14" t="s">
        <v>146</v>
      </c>
      <c r="D6" s="4"/>
      <c r="E6" s="3" t="s">
        <v>40</v>
      </c>
      <c r="F6" s="3">
        <v>0.4</v>
      </c>
      <c r="G6" s="5"/>
      <c r="H6" s="3" t="s">
        <v>41</v>
      </c>
      <c r="I6" s="21" t="s">
        <v>98</v>
      </c>
      <c r="J6" s="4"/>
      <c r="K6" s="3" t="s">
        <v>148</v>
      </c>
      <c r="L6" s="3">
        <v>0.8</v>
      </c>
      <c r="M6" s="4"/>
      <c r="N6" s="3" t="s">
        <v>150</v>
      </c>
      <c r="O6" s="3">
        <v>0.1</v>
      </c>
      <c r="Q6" s="6" t="s">
        <v>152</v>
      </c>
      <c r="R6" s="7">
        <v>0.1</v>
      </c>
      <c r="T6" s="8" t="s">
        <v>154</v>
      </c>
      <c r="U6" s="9">
        <f t="shared" si="0"/>
        <v>0.125</v>
      </c>
      <c r="W6" s="10" t="s">
        <v>156</v>
      </c>
      <c r="X6" s="11">
        <f t="shared" si="1"/>
        <v>1</v>
      </c>
      <c r="Y6" s="12">
        <f t="shared" si="2"/>
        <v>0.125</v>
      </c>
    </row>
    <row r="7" spans="1:25" ht="6.75" customHeight="1">
      <c r="A7" s="32"/>
      <c r="B7" s="60"/>
      <c r="C7" s="60"/>
      <c r="D7" s="4"/>
      <c r="E7" s="60"/>
      <c r="F7" s="60"/>
      <c r="G7" s="5"/>
      <c r="H7" s="4"/>
      <c r="I7" s="4"/>
      <c r="J7" s="4"/>
      <c r="K7" s="4"/>
      <c r="L7" s="4"/>
      <c r="M7" s="4"/>
      <c r="N7" s="4"/>
      <c r="O7" s="4"/>
      <c r="R7" s="4"/>
      <c r="Y7" s="13"/>
    </row>
    <row r="8" spans="1:25" ht="16">
      <c r="A8" s="59"/>
      <c r="B8" s="56"/>
      <c r="C8" s="56"/>
      <c r="D8" s="56"/>
      <c r="E8" s="56"/>
      <c r="F8" s="56"/>
      <c r="G8" s="5"/>
      <c r="H8" s="3" t="s">
        <v>45</v>
      </c>
      <c r="I8" s="14" t="s">
        <v>146</v>
      </c>
      <c r="J8" s="4"/>
      <c r="K8" s="3" t="s">
        <v>47</v>
      </c>
      <c r="L8" s="3">
        <v>0.8</v>
      </c>
      <c r="M8" s="4"/>
      <c r="N8" s="3" t="s">
        <v>48</v>
      </c>
      <c r="O8" s="3">
        <v>0.1</v>
      </c>
      <c r="Q8" s="6" t="s">
        <v>49</v>
      </c>
      <c r="R8" s="7">
        <v>0.6</v>
      </c>
      <c r="T8" s="8" t="s">
        <v>50</v>
      </c>
      <c r="U8" s="9">
        <f>IF(R8/L8&lt;=1,Y8,1)</f>
        <v>0.74999999999999989</v>
      </c>
      <c r="W8" s="10" t="s">
        <v>51</v>
      </c>
      <c r="X8" s="10">
        <f>U8/Y8</f>
        <v>1</v>
      </c>
      <c r="Y8" s="12">
        <f>R8/L8</f>
        <v>0.74999999999999989</v>
      </c>
    </row>
    <row r="9" spans="1:25" ht="16">
      <c r="A9" s="59"/>
      <c r="B9" s="58"/>
      <c r="C9" s="58"/>
      <c r="D9" s="58"/>
      <c r="E9" s="58"/>
      <c r="F9" s="58"/>
      <c r="G9" s="5"/>
      <c r="H9" s="3" t="s">
        <v>54</v>
      </c>
      <c r="I9" s="3" t="s">
        <v>17</v>
      </c>
      <c r="J9" s="4"/>
      <c r="K9" s="3" t="s">
        <v>55</v>
      </c>
      <c r="L9" s="3">
        <v>0.4</v>
      </c>
      <c r="M9" s="4"/>
      <c r="N9" s="3" t="s">
        <v>56</v>
      </c>
      <c r="O9" s="3">
        <v>0.3</v>
      </c>
      <c r="Q9" s="6" t="s">
        <v>57</v>
      </c>
      <c r="R9" s="7">
        <v>0.6</v>
      </c>
      <c r="T9" s="8" t="s">
        <v>58</v>
      </c>
      <c r="U9" s="9">
        <f>IF(R9/L9&lt;=1,Y9,1)</f>
        <v>1</v>
      </c>
      <c r="W9" s="10" t="s">
        <v>59</v>
      </c>
      <c r="X9" s="10">
        <f>U9/Y9</f>
        <v>0.66666666666666674</v>
      </c>
      <c r="Y9" s="12">
        <f>R9/L9</f>
        <v>1.4999999999999998</v>
      </c>
    </row>
    <row r="10" spans="1:25" ht="16">
      <c r="A10" s="59"/>
      <c r="B10" s="56"/>
      <c r="C10" s="56"/>
      <c r="D10" s="56"/>
      <c r="E10" s="56"/>
      <c r="F10" s="56"/>
      <c r="G10" s="5"/>
      <c r="H10" s="3" t="s">
        <v>60</v>
      </c>
      <c r="I10" s="3" t="s">
        <v>142</v>
      </c>
      <c r="J10" s="4"/>
      <c r="K10" s="3" t="s">
        <v>62</v>
      </c>
      <c r="L10" s="3">
        <v>0.8</v>
      </c>
      <c r="M10" s="4"/>
      <c r="N10" s="3" t="s">
        <v>63</v>
      </c>
      <c r="O10" s="3">
        <v>0.3</v>
      </c>
      <c r="Q10" s="6" t="s">
        <v>64</v>
      </c>
      <c r="R10" s="7">
        <v>0.8</v>
      </c>
      <c r="T10" s="8" t="s">
        <v>65</v>
      </c>
      <c r="U10" s="9">
        <f>IF(R10/L10&lt;=1,Y10,1)</f>
        <v>1</v>
      </c>
      <c r="W10" s="10" t="s">
        <v>66</v>
      </c>
      <c r="X10" s="10">
        <f>U10/Y10</f>
        <v>1</v>
      </c>
      <c r="Y10" s="12">
        <f>R10/L10</f>
        <v>1</v>
      </c>
    </row>
    <row r="11" spans="1:25" ht="16">
      <c r="A11" s="15"/>
      <c r="B11" s="4"/>
      <c r="C11" s="4"/>
      <c r="D11" s="4"/>
      <c r="E11" s="4"/>
      <c r="F11" s="4"/>
      <c r="G11" s="5"/>
      <c r="H11" s="3" t="s">
        <v>67</v>
      </c>
      <c r="I11" s="3" t="s">
        <v>143</v>
      </c>
      <c r="J11" s="4"/>
      <c r="K11" s="3" t="s">
        <v>157</v>
      </c>
      <c r="L11" s="3">
        <v>0.8</v>
      </c>
      <c r="M11" s="4"/>
      <c r="N11" s="3" t="s">
        <v>158</v>
      </c>
      <c r="O11" s="3">
        <v>0.3</v>
      </c>
      <c r="Q11" s="6" t="s">
        <v>159</v>
      </c>
      <c r="R11" s="7">
        <v>0.8</v>
      </c>
      <c r="T11" s="8" t="s">
        <v>160</v>
      </c>
      <c r="U11" s="9">
        <f>IF(R11/L11&lt;=1,Y11,1)</f>
        <v>1</v>
      </c>
      <c r="W11" s="10" t="s">
        <v>161</v>
      </c>
      <c r="X11" s="10">
        <f>U11/Y11</f>
        <v>1</v>
      </c>
      <c r="Y11" s="12">
        <f>R11/L11</f>
        <v>1</v>
      </c>
    </row>
    <row r="12" spans="1:25" ht="16">
      <c r="A12" s="57" t="s">
        <v>163</v>
      </c>
      <c r="B12" s="58" t="s">
        <v>70</v>
      </c>
      <c r="C12" s="58" t="s">
        <v>61</v>
      </c>
      <c r="D12" s="58"/>
      <c r="E12" s="58" t="s">
        <v>71</v>
      </c>
      <c r="F12" s="58">
        <v>0.7</v>
      </c>
      <c r="G12" s="5"/>
      <c r="H12" s="4"/>
      <c r="I12" s="4"/>
      <c r="J12" s="4"/>
      <c r="K12" s="4"/>
      <c r="L12" s="4"/>
      <c r="M12" s="4"/>
      <c r="N12" s="4"/>
      <c r="O12" s="4"/>
      <c r="R12" s="4"/>
      <c r="Y12" s="13"/>
    </row>
    <row r="13" spans="1:25" ht="16">
      <c r="A13" s="57"/>
      <c r="B13" s="58" t="s">
        <v>72</v>
      </c>
      <c r="C13" s="58" t="s">
        <v>68</v>
      </c>
      <c r="D13" s="58"/>
      <c r="E13" s="58" t="s">
        <v>73</v>
      </c>
      <c r="F13" s="58">
        <v>0.9</v>
      </c>
      <c r="G13" s="5"/>
      <c r="H13" s="3" t="s">
        <v>74</v>
      </c>
      <c r="I13" s="3" t="s">
        <v>42</v>
      </c>
      <c r="J13" s="4"/>
      <c r="K13" s="3" t="s">
        <v>76</v>
      </c>
      <c r="L13" s="3">
        <v>0.2</v>
      </c>
      <c r="M13" s="4"/>
      <c r="N13" s="3" t="s">
        <v>77</v>
      </c>
      <c r="O13" s="3">
        <v>0.4</v>
      </c>
      <c r="Q13" s="6" t="s">
        <v>78</v>
      </c>
      <c r="R13" s="7">
        <v>0.1</v>
      </c>
      <c r="T13" s="8" t="s">
        <v>79</v>
      </c>
      <c r="U13" s="9">
        <f>IF(R13/L13&lt;=1,Y13,1)</f>
        <v>0.5</v>
      </c>
      <c r="W13" s="10" t="s">
        <v>80</v>
      </c>
      <c r="X13" s="10">
        <f>U13/Y13</f>
        <v>1</v>
      </c>
      <c r="Y13" s="12">
        <f>R13/L13</f>
        <v>0.5</v>
      </c>
    </row>
    <row r="14" spans="1:25" ht="16">
      <c r="A14" s="57"/>
      <c r="B14" s="58" t="s">
        <v>111</v>
      </c>
      <c r="C14" s="58" t="s">
        <v>46</v>
      </c>
      <c r="D14" s="58"/>
      <c r="E14" s="58" t="s">
        <v>112</v>
      </c>
      <c r="F14" s="58">
        <v>0.6</v>
      </c>
      <c r="G14" s="5"/>
      <c r="H14" s="3" t="s">
        <v>81</v>
      </c>
      <c r="I14" s="14" t="s">
        <v>145</v>
      </c>
      <c r="J14" s="4"/>
      <c r="K14" s="3" t="s">
        <v>83</v>
      </c>
      <c r="L14" s="3">
        <v>0.7</v>
      </c>
      <c r="M14" s="4"/>
      <c r="N14" s="3" t="s">
        <v>84</v>
      </c>
      <c r="O14" s="3">
        <v>0.2</v>
      </c>
      <c r="Q14" s="6" t="s">
        <v>85</v>
      </c>
      <c r="R14" s="7">
        <v>0.7</v>
      </c>
      <c r="T14" s="8" t="s">
        <v>86</v>
      </c>
      <c r="U14" s="9">
        <f>IF(R14/L14&lt;=1,Y14,1)</f>
        <v>1</v>
      </c>
      <c r="W14" s="10" t="s">
        <v>87</v>
      </c>
      <c r="X14" s="10">
        <f>U14/Y14</f>
        <v>1</v>
      </c>
      <c r="Y14" s="12">
        <f>R14/L14</f>
        <v>1</v>
      </c>
    </row>
    <row r="15" spans="1:25" ht="16">
      <c r="A15" s="57"/>
      <c r="B15" s="58" t="s">
        <v>97</v>
      </c>
      <c r="C15" s="58" t="s">
        <v>144</v>
      </c>
      <c r="D15" s="58"/>
      <c r="E15" s="58" t="s">
        <v>99</v>
      </c>
      <c r="F15" s="58">
        <v>0.4</v>
      </c>
      <c r="G15" s="5"/>
      <c r="H15" s="3" t="s">
        <v>90</v>
      </c>
      <c r="I15" s="55" t="s">
        <v>39</v>
      </c>
      <c r="J15" s="4"/>
      <c r="K15" s="3" t="s">
        <v>92</v>
      </c>
      <c r="L15" s="3">
        <v>0.4</v>
      </c>
      <c r="M15" s="4"/>
      <c r="N15" s="3" t="s">
        <v>93</v>
      </c>
      <c r="O15" s="3">
        <v>0.4</v>
      </c>
      <c r="Q15" s="6" t="s">
        <v>94</v>
      </c>
      <c r="R15" s="7">
        <v>0.5</v>
      </c>
      <c r="T15" s="8" t="s">
        <v>95</v>
      </c>
      <c r="U15" s="9">
        <f>IF(R15/L15&lt;=1,Y15,1)</f>
        <v>1</v>
      </c>
      <c r="W15" s="10" t="s">
        <v>96</v>
      </c>
      <c r="X15" s="10">
        <f>U15/Y15</f>
        <v>0.8</v>
      </c>
      <c r="Y15" s="12">
        <f>R15/L15</f>
        <v>1.25</v>
      </c>
    </row>
    <row r="16" spans="1:25" ht="16">
      <c r="A16" s="57"/>
      <c r="B16" s="56" t="s">
        <v>117</v>
      </c>
      <c r="C16" s="56" t="s">
        <v>98</v>
      </c>
      <c r="D16" s="56"/>
      <c r="E16" s="56" t="s">
        <v>118</v>
      </c>
      <c r="F16" s="56">
        <v>0.7</v>
      </c>
      <c r="G16" s="5"/>
      <c r="H16" s="4"/>
      <c r="I16" s="4"/>
      <c r="J16" s="4"/>
      <c r="K16" s="4"/>
      <c r="L16" s="4"/>
      <c r="M16" s="4"/>
      <c r="N16" s="4"/>
      <c r="O16" s="4"/>
    </row>
    <row r="17" spans="1:23" ht="17" thickBot="1">
      <c r="A17" s="57"/>
      <c r="B17" s="58"/>
      <c r="C17" s="58"/>
      <c r="D17" s="58"/>
      <c r="E17" s="58"/>
      <c r="F17" s="58"/>
      <c r="G17" s="5"/>
      <c r="H17" s="4"/>
      <c r="I17" s="34"/>
      <c r="J17" s="34"/>
      <c r="K17" s="34"/>
      <c r="L17" s="34"/>
      <c r="M17" s="34"/>
      <c r="N17" s="4"/>
      <c r="O17" s="4"/>
    </row>
    <row r="18" spans="1:23" ht="16">
      <c r="A18" s="57"/>
      <c r="B18" s="56"/>
      <c r="C18" s="56"/>
      <c r="D18" s="56"/>
      <c r="E18" s="56"/>
      <c r="F18" s="56"/>
      <c r="G18" s="5"/>
      <c r="H18" s="4"/>
      <c r="I18" s="35" t="s">
        <v>102</v>
      </c>
      <c r="J18" s="35"/>
      <c r="K18" s="35"/>
      <c r="L18" s="16"/>
      <c r="M18" s="36" t="s">
        <v>103</v>
      </c>
      <c r="N18" s="36"/>
      <c r="O18" s="36"/>
      <c r="P18" s="36"/>
      <c r="Q18" s="36"/>
      <c r="R18" s="36"/>
      <c r="S18" s="36"/>
      <c r="T18" s="36"/>
    </row>
    <row r="19" spans="1:23" ht="16">
      <c r="A19" s="17"/>
      <c r="G19" s="18"/>
      <c r="I19" s="19" t="s">
        <v>154</v>
      </c>
      <c r="J19" s="37">
        <f>MIN(X2:X6)</f>
        <v>1</v>
      </c>
      <c r="K19" s="37"/>
      <c r="M19" s="3" t="s">
        <v>104</v>
      </c>
      <c r="N19" s="38"/>
      <c r="O19" s="38"/>
      <c r="P19" s="38"/>
      <c r="Q19" s="38"/>
      <c r="R19" s="38"/>
      <c r="S19" s="38"/>
      <c r="T19" s="20">
        <f>X2*O2+X3*O3+X4*O4+O5*X5+O6*X6</f>
        <v>0.99999999999999989</v>
      </c>
    </row>
    <row r="20" spans="1:23" ht="16">
      <c r="A20" s="39" t="s">
        <v>164</v>
      </c>
      <c r="B20" s="21" t="s">
        <v>107</v>
      </c>
      <c r="C20" s="3" t="s">
        <v>61</v>
      </c>
      <c r="E20" s="21" t="s">
        <v>108</v>
      </c>
      <c r="F20" s="21">
        <v>0.9</v>
      </c>
      <c r="G20" s="18"/>
      <c r="I20" s="22" t="s">
        <v>50</v>
      </c>
      <c r="J20" s="40">
        <f>MIN(X8:X10)</f>
        <v>0.66666666666666674</v>
      </c>
      <c r="K20" s="40"/>
      <c r="M20" s="21" t="s">
        <v>109</v>
      </c>
      <c r="N20" s="38"/>
      <c r="O20" s="38"/>
      <c r="P20" s="38"/>
      <c r="Q20" s="38"/>
      <c r="R20" s="38"/>
      <c r="S20" s="38"/>
      <c r="T20" s="20">
        <f>X8*O8+X3*O3+X4*O4</f>
        <v>0.60000000000000009</v>
      </c>
    </row>
    <row r="21" spans="1:23" ht="17" thickBot="1">
      <c r="A21" s="39"/>
      <c r="B21" s="21" t="s">
        <v>111</v>
      </c>
      <c r="C21" s="3" t="s">
        <v>68</v>
      </c>
      <c r="E21" s="21" t="s">
        <v>112</v>
      </c>
      <c r="F21" s="21">
        <v>0.6</v>
      </c>
      <c r="G21" s="18"/>
      <c r="I21" s="23" t="s">
        <v>95</v>
      </c>
      <c r="J21" s="41">
        <f>MIN(X13:X15)</f>
        <v>0.8</v>
      </c>
      <c r="K21" s="41"/>
      <c r="M21" s="21" t="s">
        <v>113</v>
      </c>
      <c r="N21" s="38"/>
      <c r="O21" s="38"/>
      <c r="P21" s="38"/>
      <c r="Q21" s="38"/>
      <c r="R21" s="38"/>
      <c r="S21" s="38"/>
      <c r="T21" s="20">
        <f>X13*O13+X14*O14+X15*O15</f>
        <v>0.92000000000000015</v>
      </c>
      <c r="U21" s="16"/>
    </row>
    <row r="22" spans="1:23" ht="16">
      <c r="A22" s="39"/>
      <c r="B22" s="3" t="s">
        <v>43</v>
      </c>
      <c r="C22" s="3" t="s">
        <v>42</v>
      </c>
      <c r="D22" s="4"/>
      <c r="E22" s="3" t="s">
        <v>44</v>
      </c>
      <c r="F22" s="3">
        <v>0.1</v>
      </c>
      <c r="G22" s="18"/>
    </row>
    <row r="23" spans="1:23" ht="16">
      <c r="A23" s="39"/>
      <c r="B23" s="3" t="s">
        <v>100</v>
      </c>
      <c r="C23" s="14" t="s">
        <v>145</v>
      </c>
      <c r="D23" s="4"/>
      <c r="E23" s="3" t="s">
        <v>101</v>
      </c>
      <c r="F23" s="3">
        <v>0.5</v>
      </c>
      <c r="G23" s="18"/>
    </row>
    <row r="24" spans="1:23" ht="15" customHeight="1">
      <c r="A24" s="39"/>
      <c r="B24" s="21" t="s">
        <v>117</v>
      </c>
      <c r="C24" s="21" t="s">
        <v>98</v>
      </c>
      <c r="E24" s="21" t="s">
        <v>118</v>
      </c>
      <c r="F24" s="21">
        <v>0.7</v>
      </c>
      <c r="G24" s="18"/>
      <c r="I24" s="42" t="s">
        <v>119</v>
      </c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3" t="s">
        <v>120</v>
      </c>
      <c r="V24" s="43"/>
      <c r="W24" s="43"/>
    </row>
    <row r="25" spans="1:23" ht="15" customHeight="1">
      <c r="A25" s="39"/>
      <c r="B25" s="54" t="s">
        <v>123</v>
      </c>
      <c r="C25" s="55" t="s">
        <v>39</v>
      </c>
      <c r="E25" s="54" t="s">
        <v>124</v>
      </c>
      <c r="F25" s="54">
        <v>0.8</v>
      </c>
      <c r="G25" s="18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4">
        <f>-0.326+J19*0.234+J20*0.436+J21*0.585</f>
        <v>0.66666666666666663</v>
      </c>
      <c r="V25" s="44"/>
      <c r="W25" s="44"/>
    </row>
    <row r="26" spans="1:23" ht="16">
      <c r="A26" s="53"/>
      <c r="B26" s="56"/>
      <c r="C26" s="56"/>
      <c r="D26" s="56"/>
      <c r="E26" s="56"/>
      <c r="F26" s="56"/>
      <c r="G26" s="18"/>
      <c r="I26" s="24"/>
      <c r="J26" s="24"/>
      <c r="K26" s="24"/>
      <c r="L26" s="24"/>
      <c r="M26" s="24"/>
      <c r="N26" s="24"/>
      <c r="O26" s="24"/>
      <c r="P26" s="24"/>
      <c r="Q26" s="24"/>
      <c r="R26" s="25"/>
      <c r="S26" s="24"/>
      <c r="T26" s="24"/>
      <c r="U26" s="24"/>
      <c r="V26" s="24"/>
      <c r="W26" s="24"/>
    </row>
    <row r="27" spans="1:23" ht="16">
      <c r="A27" s="53"/>
      <c r="B27" s="56"/>
      <c r="C27" s="56"/>
      <c r="D27" s="56"/>
      <c r="E27" s="56"/>
      <c r="F27" s="56"/>
      <c r="G27" s="18"/>
      <c r="I27" s="45" t="s">
        <v>125</v>
      </c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24"/>
      <c r="V27" s="24"/>
      <c r="W27" s="24"/>
    </row>
    <row r="28" spans="1:23" ht="16">
      <c r="A28" s="53"/>
      <c r="B28" s="56"/>
      <c r="C28" s="56"/>
      <c r="D28" s="56"/>
      <c r="E28" s="56"/>
      <c r="F28" s="56"/>
      <c r="G28" s="18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24"/>
      <c r="V28" s="24"/>
      <c r="W28" s="24"/>
    </row>
    <row r="29" spans="1:23" ht="17" thickBot="1"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</row>
    <row r="30" spans="1:23" ht="15" customHeight="1" thickBot="1">
      <c r="I30" s="47" t="s">
        <v>130</v>
      </c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8" t="s">
        <v>131</v>
      </c>
      <c r="U30" s="48"/>
      <c r="V30" s="48"/>
      <c r="W30" s="48"/>
    </row>
    <row r="31" spans="1:23" ht="15" customHeight="1" thickBot="1"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9">
        <f>-0.326+T19*0.234+T20*0.436+T21*0.585</f>
        <v>0.70779999999999998</v>
      </c>
      <c r="U31" s="49"/>
      <c r="V31" s="49"/>
      <c r="W31" s="49"/>
    </row>
    <row r="32" spans="1:23" ht="16"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</row>
    <row r="33" spans="9:23" ht="16">
      <c r="I33" s="50" t="s">
        <v>134</v>
      </c>
      <c r="J33" s="50"/>
      <c r="K33" s="50"/>
      <c r="L33" s="50"/>
      <c r="M33" s="50"/>
      <c r="N33" s="50"/>
      <c r="O33" s="50"/>
      <c r="P33" s="50"/>
      <c r="Q33" s="50"/>
      <c r="R33" s="24"/>
      <c r="S33" s="24"/>
      <c r="T33" s="24"/>
      <c r="U33" s="24"/>
      <c r="V33" s="24"/>
      <c r="W33" s="24"/>
    </row>
    <row r="34" spans="9:23" ht="16">
      <c r="I34" s="50"/>
      <c r="J34" s="50"/>
      <c r="K34" s="50"/>
      <c r="L34" s="50"/>
      <c r="M34" s="50"/>
      <c r="N34" s="50"/>
      <c r="O34" s="50"/>
      <c r="P34" s="50"/>
      <c r="Q34" s="50"/>
      <c r="R34" s="24"/>
      <c r="S34" s="24"/>
      <c r="T34" s="24"/>
      <c r="U34" s="24"/>
      <c r="V34" s="24"/>
      <c r="W34" s="24"/>
    </row>
  </sheetData>
  <mergeCells count="25">
    <mergeCell ref="U24:W24"/>
    <mergeCell ref="U25:W25"/>
    <mergeCell ref="I27:T28"/>
    <mergeCell ref="I30:S31"/>
    <mergeCell ref="T30:W30"/>
    <mergeCell ref="T31:W31"/>
    <mergeCell ref="I33:Q34"/>
    <mergeCell ref="A20:A28"/>
    <mergeCell ref="J20:K20"/>
    <mergeCell ref="N20:S20"/>
    <mergeCell ref="J21:K21"/>
    <mergeCell ref="N21:S21"/>
    <mergeCell ref="I24:T25"/>
    <mergeCell ref="A12:A18"/>
    <mergeCell ref="I17:M17"/>
    <mergeCell ref="I18:K18"/>
    <mergeCell ref="M18:T18"/>
    <mergeCell ref="J19:K19"/>
    <mergeCell ref="N19:S19"/>
    <mergeCell ref="A1:L1"/>
    <mergeCell ref="N1:O1"/>
    <mergeCell ref="Q1:R1"/>
    <mergeCell ref="T1:U1"/>
    <mergeCell ref="W1:X1"/>
    <mergeCell ref="A2:A10"/>
  </mergeCells>
  <printOptions horizontalCentered="1"/>
  <pageMargins left="0.48622047200000007" right="0.23622047244094502" top="0.74803149606299213" bottom="0.74803149606299213" header="0.31496062992126012" footer="0.31496062992126012"/>
  <pageSetup scale="82" fitToWidth="0" fitToHeight="0" orientation="landscape" horizontalDpi="0" verticalDpi="0"/>
  <headerFooter>
    <oddHeader>&amp;LDynamic Automobile Technologies&amp;CResource Allocation and Utilisation&amp;RLogistics Manager</oddHeader>
  </headerFooter>
  <colBreaks count="1" manualBreakCount="1">
    <brk id="25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34"/>
  <sheetViews>
    <sheetView workbookViewId="0"/>
  </sheetViews>
  <sheetFormatPr baseColWidth="10" defaultColWidth="10.6640625" defaultRowHeight="15"/>
  <cols>
    <col min="1" max="1" width="8" customWidth="1"/>
    <col min="2" max="2" width="7.5" customWidth="1"/>
    <col min="3" max="3" width="23.6640625" customWidth="1"/>
    <col min="4" max="4" width="2.5" customWidth="1"/>
    <col min="5" max="5" width="8.1640625" customWidth="1"/>
    <col min="6" max="6" width="8.5" customWidth="1"/>
    <col min="7" max="7" width="2.5" customWidth="1"/>
    <col min="8" max="8" width="5.5" customWidth="1"/>
    <col min="9" max="9" width="19.1640625" customWidth="1"/>
    <col min="10" max="10" width="2.83203125" customWidth="1"/>
    <col min="11" max="11" width="7.83203125" customWidth="1"/>
    <col min="12" max="12" width="8.1640625" customWidth="1"/>
    <col min="13" max="13" width="6.5" customWidth="1"/>
    <col min="14" max="14" width="7.33203125" customWidth="1"/>
    <col min="15" max="15" width="7.83203125" customWidth="1"/>
    <col min="16" max="16" width="3.1640625" customWidth="1"/>
    <col min="17" max="17" width="7.5" customWidth="1"/>
    <col min="18" max="18" width="8" customWidth="1"/>
    <col min="19" max="19" width="5" customWidth="1"/>
    <col min="20" max="20" width="7" customWidth="1"/>
    <col min="21" max="21" width="6.83203125" customWidth="1"/>
    <col min="22" max="22" width="1.83203125" customWidth="1"/>
    <col min="23" max="23" width="8.33203125" customWidth="1"/>
    <col min="24" max="24" width="6.5" customWidth="1"/>
    <col min="25" max="25" width="13.83203125" customWidth="1"/>
    <col min="26" max="26" width="10.6640625" customWidth="1"/>
  </cols>
  <sheetData>
    <row r="1" spans="1:25" ht="59.25" customHeight="1">
      <c r="A1" s="27" t="s">
        <v>0</v>
      </c>
      <c r="B1" s="27"/>
      <c r="C1" s="27"/>
      <c r="D1" s="27"/>
      <c r="E1" s="27"/>
      <c r="F1" s="27"/>
      <c r="G1" s="27"/>
      <c r="H1" s="27"/>
      <c r="I1" s="27"/>
      <c r="J1" s="27"/>
      <c r="K1" s="27"/>
      <c r="L1" s="27"/>
      <c r="N1" s="28" t="s">
        <v>1</v>
      </c>
      <c r="O1" s="28"/>
      <c r="Q1" s="29" t="s">
        <v>2</v>
      </c>
      <c r="R1" s="29"/>
      <c r="S1" s="1"/>
      <c r="T1" s="30" t="s">
        <v>3</v>
      </c>
      <c r="U1" s="30"/>
      <c r="V1" s="1"/>
      <c r="W1" s="31" t="s">
        <v>4</v>
      </c>
      <c r="X1" s="31"/>
      <c r="Y1" s="2" t="s">
        <v>5</v>
      </c>
    </row>
    <row r="2" spans="1:25" ht="16">
      <c r="A2" s="32" t="s">
        <v>6</v>
      </c>
      <c r="B2" s="3" t="s">
        <v>7</v>
      </c>
      <c r="C2" s="3" t="s">
        <v>8</v>
      </c>
      <c r="D2" s="4"/>
      <c r="E2" s="3" t="s">
        <v>9</v>
      </c>
      <c r="F2" s="3">
        <v>0.7</v>
      </c>
      <c r="G2" s="5"/>
      <c r="H2" s="3" t="s">
        <v>10</v>
      </c>
      <c r="I2" s="3" t="s">
        <v>8</v>
      </c>
      <c r="J2" s="4"/>
      <c r="K2" s="3" t="s">
        <v>11</v>
      </c>
      <c r="L2" s="3">
        <v>0.7</v>
      </c>
      <c r="M2" s="4"/>
      <c r="N2" s="3" t="s">
        <v>12</v>
      </c>
      <c r="O2" s="3">
        <v>0.4</v>
      </c>
      <c r="Q2" s="6" t="s">
        <v>13</v>
      </c>
      <c r="R2" s="7">
        <v>0.7</v>
      </c>
      <c r="T2" s="8" t="s">
        <v>14</v>
      </c>
      <c r="U2" s="9">
        <f>IF(R2/L2&lt;=1,Y2,1)</f>
        <v>1</v>
      </c>
      <c r="W2" s="10" t="s">
        <v>15</v>
      </c>
      <c r="X2" s="11">
        <f>U2/Y2</f>
        <v>1</v>
      </c>
      <c r="Y2" s="12">
        <f>R2/L2</f>
        <v>1</v>
      </c>
    </row>
    <row r="3" spans="1:25" ht="16">
      <c r="A3" s="32"/>
      <c r="B3" s="3" t="s">
        <v>16</v>
      </c>
      <c r="C3" s="3" t="s">
        <v>17</v>
      </c>
      <c r="D3" s="4"/>
      <c r="E3" s="3" t="s">
        <v>18</v>
      </c>
      <c r="F3" s="3">
        <v>0.5</v>
      </c>
      <c r="G3" s="5"/>
      <c r="H3" s="3" t="s">
        <v>19</v>
      </c>
      <c r="I3" s="3" t="s">
        <v>17</v>
      </c>
      <c r="J3" s="4"/>
      <c r="K3" s="3" t="s">
        <v>20</v>
      </c>
      <c r="L3" s="3">
        <v>0.8</v>
      </c>
      <c r="M3" s="4"/>
      <c r="N3" s="3" t="s">
        <v>21</v>
      </c>
      <c r="O3" s="3">
        <v>0.3</v>
      </c>
      <c r="Q3" s="6" t="s">
        <v>22</v>
      </c>
      <c r="R3" s="7">
        <v>0.8</v>
      </c>
      <c r="T3" s="8" t="s">
        <v>23</v>
      </c>
      <c r="U3" s="9">
        <f>IF(R3/L3&lt;=1,Y3,1)</f>
        <v>1</v>
      </c>
      <c r="W3" s="10" t="s">
        <v>24</v>
      </c>
      <c r="X3" s="11">
        <f>U3/Y3</f>
        <v>1</v>
      </c>
      <c r="Y3" s="12">
        <f>R3/L3</f>
        <v>1</v>
      </c>
    </row>
    <row r="4" spans="1:25" ht="16">
      <c r="A4" s="32"/>
      <c r="B4" s="3" t="s">
        <v>25</v>
      </c>
      <c r="C4" s="3" t="s">
        <v>26</v>
      </c>
      <c r="D4" s="4"/>
      <c r="E4" s="3" t="s">
        <v>27</v>
      </c>
      <c r="F4" s="3">
        <v>0.8</v>
      </c>
      <c r="G4" s="5"/>
      <c r="H4" s="3" t="s">
        <v>28</v>
      </c>
      <c r="I4" s="3" t="s">
        <v>26</v>
      </c>
      <c r="J4" s="4"/>
      <c r="K4" s="3" t="s">
        <v>29</v>
      </c>
      <c r="L4" s="3">
        <v>0.7</v>
      </c>
      <c r="M4" s="4"/>
      <c r="N4" s="3" t="s">
        <v>30</v>
      </c>
      <c r="O4" s="3">
        <v>0.3</v>
      </c>
      <c r="Q4" s="6" t="s">
        <v>31</v>
      </c>
      <c r="R4" s="7">
        <v>0.7</v>
      </c>
      <c r="T4" s="8" t="s">
        <v>32</v>
      </c>
      <c r="U4" s="9">
        <f>IF(R4/L4&lt;=1,Y4,1)</f>
        <v>1</v>
      </c>
      <c r="W4" s="10" t="s">
        <v>33</v>
      </c>
      <c r="X4" s="11">
        <f>U4/Y4</f>
        <v>1</v>
      </c>
      <c r="Y4" s="12">
        <f>R4/L4</f>
        <v>1</v>
      </c>
    </row>
    <row r="5" spans="1:25" ht="16">
      <c r="A5" s="32"/>
      <c r="B5" s="3" t="s">
        <v>34</v>
      </c>
      <c r="C5" s="3" t="s">
        <v>35</v>
      </c>
      <c r="D5" s="4"/>
      <c r="E5" s="3" t="s">
        <v>36</v>
      </c>
      <c r="F5" s="3">
        <v>0.9</v>
      </c>
      <c r="G5" s="5"/>
      <c r="H5" s="3" t="s">
        <v>37</v>
      </c>
      <c r="I5" s="3" t="s">
        <v>35</v>
      </c>
      <c r="J5" s="4"/>
      <c r="K5" s="4"/>
      <c r="L5" s="4"/>
      <c r="M5" s="4"/>
      <c r="N5" s="4"/>
      <c r="O5" s="4"/>
      <c r="R5" s="4"/>
      <c r="Y5" s="13"/>
    </row>
    <row r="6" spans="1:25" ht="18" customHeight="1">
      <c r="A6" s="32"/>
      <c r="B6" s="3" t="s">
        <v>38</v>
      </c>
      <c r="C6" s="14" t="s">
        <v>39</v>
      </c>
      <c r="D6" s="4"/>
      <c r="E6" s="3" t="s">
        <v>40</v>
      </c>
      <c r="F6" s="3">
        <v>0.8</v>
      </c>
      <c r="G6" s="5"/>
      <c r="H6" s="3" t="s">
        <v>41</v>
      </c>
      <c r="I6" s="3" t="s">
        <v>42</v>
      </c>
      <c r="J6" s="4"/>
      <c r="K6" s="4"/>
      <c r="L6" s="4"/>
      <c r="M6" s="4"/>
      <c r="N6" s="4"/>
      <c r="O6" s="4"/>
      <c r="R6" s="4"/>
      <c r="Y6" s="13"/>
    </row>
    <row r="7" spans="1:25" ht="6.75" customHeight="1">
      <c r="A7" s="32"/>
      <c r="B7" s="3"/>
      <c r="C7" s="3"/>
      <c r="D7" s="4"/>
      <c r="E7" s="3"/>
      <c r="F7" s="3"/>
      <c r="G7" s="5"/>
      <c r="H7" s="4"/>
      <c r="I7" s="4"/>
      <c r="J7" s="4"/>
      <c r="K7" s="4"/>
      <c r="L7" s="4"/>
      <c r="M7" s="4"/>
      <c r="N7" s="4"/>
      <c r="O7" s="4"/>
      <c r="R7" s="4"/>
      <c r="Y7" s="13"/>
    </row>
    <row r="8" spans="1:25" ht="16">
      <c r="A8" s="32"/>
      <c r="B8" s="3" t="s">
        <v>43</v>
      </c>
      <c r="C8" s="3" t="s">
        <v>42</v>
      </c>
      <c r="D8" s="4"/>
      <c r="E8" s="3" t="s">
        <v>44</v>
      </c>
      <c r="F8" s="3">
        <v>0.9</v>
      </c>
      <c r="G8" s="5"/>
      <c r="H8" s="3" t="s">
        <v>45</v>
      </c>
      <c r="I8" s="3" t="s">
        <v>46</v>
      </c>
      <c r="J8" s="4"/>
      <c r="K8" s="3" t="s">
        <v>47</v>
      </c>
      <c r="L8" s="3">
        <v>0.5</v>
      </c>
      <c r="M8" s="4"/>
      <c r="N8" s="3" t="s">
        <v>48</v>
      </c>
      <c r="O8" s="3">
        <v>0.2</v>
      </c>
      <c r="Q8" s="6" t="s">
        <v>49</v>
      </c>
      <c r="R8" s="7">
        <v>0.5</v>
      </c>
      <c r="T8" s="8" t="s">
        <v>50</v>
      </c>
      <c r="U8" s="9">
        <f>IF(R8/L8&lt;=1,Y8,1)</f>
        <v>1</v>
      </c>
      <c r="W8" s="10" t="s">
        <v>51</v>
      </c>
      <c r="X8" s="10">
        <f>U8/Y8</f>
        <v>1</v>
      </c>
      <c r="Y8" s="12">
        <f>R8/L8</f>
        <v>1</v>
      </c>
    </row>
    <row r="9" spans="1:25" ht="16">
      <c r="A9" s="32"/>
      <c r="B9" s="3" t="s">
        <v>52</v>
      </c>
      <c r="C9" s="3" t="s">
        <v>46</v>
      </c>
      <c r="D9" s="4"/>
      <c r="E9" s="3" t="s">
        <v>53</v>
      </c>
      <c r="F9" s="3">
        <v>0.6</v>
      </c>
      <c r="G9" s="5"/>
      <c r="H9" s="3" t="s">
        <v>54</v>
      </c>
      <c r="I9" s="3" t="s">
        <v>35</v>
      </c>
      <c r="J9" s="4"/>
      <c r="K9" s="3" t="s">
        <v>55</v>
      </c>
      <c r="L9" s="3">
        <v>0.7</v>
      </c>
      <c r="M9" s="4"/>
      <c r="N9" s="3" t="s">
        <v>56</v>
      </c>
      <c r="O9" s="3">
        <v>0.3</v>
      </c>
      <c r="Q9" s="6" t="s">
        <v>57</v>
      </c>
      <c r="R9" s="7">
        <v>0.7</v>
      </c>
      <c r="T9" s="8" t="s">
        <v>58</v>
      </c>
      <c r="U9" s="9">
        <f>IF(R9/L9&lt;=1,Y9,1)</f>
        <v>1</v>
      </c>
      <c r="W9" s="10" t="s">
        <v>59</v>
      </c>
      <c r="X9" s="10">
        <f>U9/Y9</f>
        <v>1</v>
      </c>
      <c r="Y9" s="12">
        <f>R9/L9</f>
        <v>1</v>
      </c>
    </row>
    <row r="10" spans="1:25" ht="16">
      <c r="A10" s="32"/>
      <c r="B10" s="3"/>
      <c r="C10" s="3"/>
      <c r="D10" s="4"/>
      <c r="E10" s="3"/>
      <c r="F10" s="3"/>
      <c r="G10" s="5"/>
      <c r="H10" s="3" t="s">
        <v>60</v>
      </c>
      <c r="I10" s="3" t="s">
        <v>61</v>
      </c>
      <c r="J10" s="4"/>
      <c r="K10" s="3" t="s">
        <v>62</v>
      </c>
      <c r="L10" s="3">
        <v>0.8</v>
      </c>
      <c r="M10" s="4"/>
      <c r="N10" s="3" t="s">
        <v>63</v>
      </c>
      <c r="O10" s="3">
        <v>0.5</v>
      </c>
      <c r="Q10" s="6" t="s">
        <v>64</v>
      </c>
      <c r="R10" s="7">
        <v>0.8</v>
      </c>
      <c r="T10" s="8" t="s">
        <v>65</v>
      </c>
      <c r="U10" s="9">
        <f>IF(R10/L10&lt;=1,Y10,1)</f>
        <v>1</v>
      </c>
      <c r="W10" s="10" t="s">
        <v>66</v>
      </c>
      <c r="X10" s="10">
        <f>U10/Y10</f>
        <v>1</v>
      </c>
      <c r="Y10" s="12">
        <f>R10/L10</f>
        <v>1</v>
      </c>
    </row>
    <row r="11" spans="1:25" ht="16">
      <c r="A11" s="15"/>
      <c r="B11" s="4"/>
      <c r="C11" s="4"/>
      <c r="D11" s="4"/>
      <c r="E11" s="4"/>
      <c r="F11" s="4"/>
      <c r="G11" s="5"/>
      <c r="H11" s="3" t="s">
        <v>67</v>
      </c>
      <c r="I11" s="3" t="s">
        <v>68</v>
      </c>
      <c r="J11" s="4"/>
      <c r="K11" s="4"/>
      <c r="L11" s="4"/>
      <c r="M11" s="4"/>
      <c r="N11" s="4"/>
      <c r="O11" s="4"/>
      <c r="R11" s="4"/>
      <c r="Y11" s="13"/>
    </row>
    <row r="12" spans="1:25" ht="16">
      <c r="A12" s="33" t="s">
        <v>69</v>
      </c>
      <c r="B12" s="3" t="s">
        <v>70</v>
      </c>
      <c r="C12" s="3" t="s">
        <v>61</v>
      </c>
      <c r="D12" s="4"/>
      <c r="E12" s="3" t="s">
        <v>71</v>
      </c>
      <c r="F12" s="3">
        <v>0.9</v>
      </c>
      <c r="G12" s="5"/>
      <c r="H12" s="4"/>
      <c r="I12" s="4"/>
      <c r="J12" s="4"/>
      <c r="K12" s="4"/>
      <c r="L12" s="4"/>
      <c r="M12" s="4"/>
      <c r="N12" s="4"/>
      <c r="O12" s="4"/>
      <c r="R12" s="4"/>
      <c r="Y12" s="13"/>
    </row>
    <row r="13" spans="1:25" ht="16">
      <c r="A13" s="33"/>
      <c r="B13" s="3" t="s">
        <v>72</v>
      </c>
      <c r="C13" s="3" t="s">
        <v>68</v>
      </c>
      <c r="D13" s="4"/>
      <c r="E13" s="3" t="s">
        <v>73</v>
      </c>
      <c r="F13" s="3">
        <v>0.8</v>
      </c>
      <c r="G13" s="5"/>
      <c r="H13" s="3" t="s">
        <v>74</v>
      </c>
      <c r="I13" s="3" t="s">
        <v>75</v>
      </c>
      <c r="J13" s="4"/>
      <c r="K13" s="3" t="s">
        <v>76</v>
      </c>
      <c r="L13" s="3">
        <v>0.5</v>
      </c>
      <c r="M13" s="4"/>
      <c r="N13" s="3" t="s">
        <v>77</v>
      </c>
      <c r="O13" s="3">
        <v>0.4</v>
      </c>
      <c r="Q13" s="6" t="s">
        <v>78</v>
      </c>
      <c r="R13" s="7">
        <v>0.5</v>
      </c>
      <c r="T13" s="8" t="s">
        <v>79</v>
      </c>
      <c r="U13" s="9">
        <f>IF(R13/L13&lt;=1,Y13,1)</f>
        <v>1</v>
      </c>
      <c r="W13" s="10" t="s">
        <v>80</v>
      </c>
      <c r="X13" s="10">
        <f>U13/Y13</f>
        <v>1</v>
      </c>
      <c r="Y13" s="12">
        <f>R13/L13</f>
        <v>1</v>
      </c>
    </row>
    <row r="14" spans="1:25" ht="32">
      <c r="A14" s="33"/>
      <c r="B14" s="3"/>
      <c r="C14" s="3"/>
      <c r="D14" s="4"/>
      <c r="E14" s="3"/>
      <c r="F14" s="3"/>
      <c r="G14" s="5"/>
      <c r="H14" s="3" t="s">
        <v>81</v>
      </c>
      <c r="I14" s="14" t="s">
        <v>82</v>
      </c>
      <c r="J14" s="4"/>
      <c r="K14" s="3" t="s">
        <v>83</v>
      </c>
      <c r="L14" s="3">
        <v>0.9</v>
      </c>
      <c r="M14" s="4"/>
      <c r="N14" s="3" t="s">
        <v>84</v>
      </c>
      <c r="O14" s="3">
        <v>0.2</v>
      </c>
      <c r="Q14" s="6" t="s">
        <v>85</v>
      </c>
      <c r="R14" s="7">
        <v>0.9</v>
      </c>
      <c r="T14" s="8" t="s">
        <v>86</v>
      </c>
      <c r="U14" s="9">
        <f>IF(R14/L14&lt;=1,Y14,1)</f>
        <v>1</v>
      </c>
      <c r="W14" s="10" t="s">
        <v>87</v>
      </c>
      <c r="X14" s="10">
        <f>U14/Y14</f>
        <v>1</v>
      </c>
      <c r="Y14" s="12">
        <f>R14/L14</f>
        <v>1</v>
      </c>
    </row>
    <row r="15" spans="1:25" ht="16">
      <c r="A15" s="33"/>
      <c r="B15" s="3" t="s">
        <v>88</v>
      </c>
      <c r="C15" s="3" t="s">
        <v>75</v>
      </c>
      <c r="D15" s="4"/>
      <c r="E15" s="3" t="s">
        <v>89</v>
      </c>
      <c r="F15" s="3">
        <v>0.5</v>
      </c>
      <c r="G15" s="5"/>
      <c r="H15" s="3" t="s">
        <v>90</v>
      </c>
      <c r="I15" s="3" t="s">
        <v>91</v>
      </c>
      <c r="J15" s="4"/>
      <c r="K15" s="3" t="s">
        <v>92</v>
      </c>
      <c r="L15" s="3">
        <v>0.7</v>
      </c>
      <c r="M15" s="4"/>
      <c r="N15" s="3" t="s">
        <v>93</v>
      </c>
      <c r="O15" s="3">
        <v>0.4</v>
      </c>
      <c r="Q15" s="6" t="s">
        <v>94</v>
      </c>
      <c r="R15" s="7">
        <v>0.7</v>
      </c>
      <c r="T15" s="8" t="s">
        <v>95</v>
      </c>
      <c r="U15" s="9">
        <f>IF(R15/L15&lt;=1,Y15,1)</f>
        <v>1</v>
      </c>
      <c r="W15" s="10" t="s">
        <v>96</v>
      </c>
      <c r="X15" s="10">
        <f>U15/Y15</f>
        <v>1</v>
      </c>
      <c r="Y15" s="12">
        <f>R15/L15</f>
        <v>1</v>
      </c>
    </row>
    <row r="16" spans="1:25" ht="16">
      <c r="A16" s="33"/>
      <c r="B16" s="3" t="s">
        <v>97</v>
      </c>
      <c r="C16" s="3" t="s">
        <v>98</v>
      </c>
      <c r="D16" s="4"/>
      <c r="E16" s="3" t="s">
        <v>99</v>
      </c>
      <c r="F16" s="3">
        <v>0.7</v>
      </c>
      <c r="G16" s="5"/>
      <c r="H16" s="4"/>
      <c r="I16" s="4"/>
      <c r="J16" s="4"/>
      <c r="K16" s="4"/>
      <c r="L16" s="4"/>
      <c r="M16" s="4"/>
      <c r="N16" s="4"/>
      <c r="O16" s="4"/>
    </row>
    <row r="17" spans="1:23" ht="17" thickBot="1">
      <c r="A17" s="33"/>
      <c r="B17" s="3"/>
      <c r="C17" s="3"/>
      <c r="D17" s="4"/>
      <c r="E17" s="3"/>
      <c r="F17" s="3"/>
      <c r="G17" s="5"/>
      <c r="H17" s="4"/>
      <c r="I17" s="34"/>
      <c r="J17" s="34"/>
      <c r="K17" s="34"/>
      <c r="L17" s="34"/>
      <c r="M17" s="34"/>
      <c r="N17" s="4"/>
      <c r="O17" s="4"/>
    </row>
    <row r="18" spans="1:23" ht="16">
      <c r="A18" s="33"/>
      <c r="B18" s="3" t="s">
        <v>100</v>
      </c>
      <c r="C18" s="14" t="s">
        <v>82</v>
      </c>
      <c r="D18" s="4"/>
      <c r="E18" s="3" t="s">
        <v>101</v>
      </c>
      <c r="F18" s="3">
        <v>0.9</v>
      </c>
      <c r="G18" s="5"/>
      <c r="H18" s="4"/>
      <c r="I18" s="35" t="s">
        <v>102</v>
      </c>
      <c r="J18" s="35"/>
      <c r="K18" s="35"/>
      <c r="L18" s="16"/>
      <c r="M18" s="36" t="s">
        <v>103</v>
      </c>
      <c r="N18" s="36"/>
      <c r="O18" s="36"/>
      <c r="P18" s="36"/>
      <c r="Q18" s="36"/>
      <c r="R18" s="36"/>
      <c r="S18" s="36"/>
      <c r="T18" s="36"/>
    </row>
    <row r="19" spans="1:23" ht="16">
      <c r="A19" s="17"/>
      <c r="G19" s="18"/>
      <c r="I19" s="19" t="s">
        <v>32</v>
      </c>
      <c r="J19" s="37">
        <f>MIN(X2:X4)</f>
        <v>1</v>
      </c>
      <c r="K19" s="37"/>
      <c r="M19" s="3" t="s">
        <v>104</v>
      </c>
      <c r="N19" s="38" t="s">
        <v>105</v>
      </c>
      <c r="O19" s="38"/>
      <c r="P19" s="38"/>
      <c r="Q19" s="38"/>
      <c r="R19" s="38"/>
      <c r="S19" s="38"/>
      <c r="T19" s="20">
        <f>X2*O2+X3*O3+X4*O4</f>
        <v>1</v>
      </c>
    </row>
    <row r="20" spans="1:23" ht="16">
      <c r="A20" s="39" t="s">
        <v>106</v>
      </c>
      <c r="B20" s="21" t="s">
        <v>107</v>
      </c>
      <c r="C20" s="21" t="s">
        <v>8</v>
      </c>
      <c r="E20" s="21" t="s">
        <v>108</v>
      </c>
      <c r="F20" s="21">
        <v>0.8</v>
      </c>
      <c r="G20" s="18"/>
      <c r="I20" s="22" t="s">
        <v>50</v>
      </c>
      <c r="J20" s="40">
        <f>MIN(X8:X10)</f>
        <v>1</v>
      </c>
      <c r="K20" s="40"/>
      <c r="M20" s="21" t="s">
        <v>109</v>
      </c>
      <c r="N20" s="38" t="s">
        <v>110</v>
      </c>
      <c r="O20" s="38"/>
      <c r="P20" s="38"/>
      <c r="Q20" s="38"/>
      <c r="R20" s="38"/>
      <c r="S20" s="38"/>
      <c r="T20" s="20">
        <f>X8*O8+X3*O3+X4*O4</f>
        <v>0.8</v>
      </c>
    </row>
    <row r="21" spans="1:23" ht="17" thickBot="1">
      <c r="A21" s="39"/>
      <c r="B21" s="21" t="s">
        <v>111</v>
      </c>
      <c r="C21" s="21" t="s">
        <v>17</v>
      </c>
      <c r="E21" s="21" t="s">
        <v>112</v>
      </c>
      <c r="F21" s="21">
        <v>0.7</v>
      </c>
      <c r="G21" s="18"/>
      <c r="I21" s="23" t="s">
        <v>95</v>
      </c>
      <c r="J21" s="41">
        <f>MIN(X13:X15)</f>
        <v>1</v>
      </c>
      <c r="K21" s="41"/>
      <c r="M21" s="21" t="s">
        <v>113</v>
      </c>
      <c r="N21" s="38" t="s">
        <v>114</v>
      </c>
      <c r="O21" s="38"/>
      <c r="P21" s="38"/>
      <c r="Q21" s="38"/>
      <c r="R21" s="38"/>
      <c r="S21" s="38"/>
      <c r="T21" s="20">
        <f>X13*O13+X14*O14+X15*O15</f>
        <v>1</v>
      </c>
      <c r="U21" s="16"/>
    </row>
    <row r="22" spans="1:23">
      <c r="A22" s="39"/>
      <c r="B22" s="21"/>
      <c r="C22" s="21"/>
      <c r="E22" s="21"/>
      <c r="F22" s="21"/>
      <c r="G22" s="18"/>
    </row>
    <row r="23" spans="1:23">
      <c r="A23" s="39"/>
      <c r="B23" s="21" t="s">
        <v>115</v>
      </c>
      <c r="C23" s="21" t="s">
        <v>26</v>
      </c>
      <c r="E23" s="21" t="s">
        <v>116</v>
      </c>
      <c r="F23" s="21">
        <v>0.8</v>
      </c>
      <c r="G23" s="18"/>
    </row>
    <row r="24" spans="1:23" ht="15" customHeight="1">
      <c r="A24" s="39"/>
      <c r="B24" s="21" t="s">
        <v>117</v>
      </c>
      <c r="C24" s="21" t="s">
        <v>98</v>
      </c>
      <c r="E24" s="21" t="s">
        <v>118</v>
      </c>
      <c r="F24" s="21">
        <v>0.7</v>
      </c>
      <c r="G24" s="18"/>
      <c r="I24" s="42" t="s">
        <v>119</v>
      </c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3" t="s">
        <v>120</v>
      </c>
      <c r="V24" s="43"/>
      <c r="W24" s="43"/>
    </row>
    <row r="25" spans="1:23" ht="15" customHeight="1">
      <c r="A25" s="39"/>
      <c r="B25" s="21"/>
      <c r="C25" s="21"/>
      <c r="E25" s="21"/>
      <c r="F25" s="21"/>
      <c r="G25" s="18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4">
        <f>-0.326+J19*0.234+J20*0.436+J21*0.585</f>
        <v>0.92899999999999994</v>
      </c>
      <c r="V25" s="44"/>
      <c r="W25" s="44"/>
    </row>
    <row r="26" spans="1:23" ht="16">
      <c r="A26" s="39"/>
      <c r="B26" s="21" t="s">
        <v>121</v>
      </c>
      <c r="C26" s="21" t="s">
        <v>75</v>
      </c>
      <c r="E26" s="21" t="s">
        <v>122</v>
      </c>
      <c r="F26" s="21">
        <v>0.7</v>
      </c>
      <c r="G26" s="18"/>
      <c r="I26" s="24"/>
      <c r="J26" s="24"/>
      <c r="K26" s="24"/>
      <c r="L26" s="24"/>
      <c r="M26" s="24"/>
      <c r="N26" s="24"/>
      <c r="O26" s="24"/>
      <c r="P26" s="24"/>
      <c r="Q26" s="24"/>
      <c r="R26" s="25"/>
      <c r="S26" s="24"/>
      <c r="T26" s="24"/>
      <c r="U26" s="24"/>
      <c r="V26" s="24"/>
      <c r="W26" s="24"/>
    </row>
    <row r="27" spans="1:23" ht="16">
      <c r="A27" s="39"/>
      <c r="B27" s="21" t="s">
        <v>123</v>
      </c>
      <c r="C27" s="26" t="s">
        <v>39</v>
      </c>
      <c r="E27" s="21" t="s">
        <v>124</v>
      </c>
      <c r="F27" s="21">
        <v>0.6</v>
      </c>
      <c r="G27" s="18"/>
      <c r="I27" s="45" t="s">
        <v>125</v>
      </c>
      <c r="J27" s="45"/>
      <c r="K27" s="45"/>
      <c r="L27" s="45"/>
      <c r="M27" s="45"/>
      <c r="N27" s="45"/>
      <c r="O27" s="45"/>
      <c r="P27" s="45"/>
      <c r="Q27" s="45"/>
      <c r="R27" s="45"/>
      <c r="S27" s="45"/>
      <c r="T27" s="45"/>
      <c r="U27" s="24"/>
      <c r="V27" s="24"/>
      <c r="W27" s="24"/>
    </row>
    <row r="28" spans="1:23" ht="16">
      <c r="A28" s="39"/>
      <c r="B28" s="21" t="s">
        <v>126</v>
      </c>
      <c r="C28" s="21" t="s">
        <v>91</v>
      </c>
      <c r="E28" s="21" t="s">
        <v>127</v>
      </c>
      <c r="F28" s="21">
        <v>0.7</v>
      </c>
      <c r="G28" s="18"/>
      <c r="I28" s="45"/>
      <c r="J28" s="45"/>
      <c r="K28" s="45"/>
      <c r="L28" s="45"/>
      <c r="M28" s="45"/>
      <c r="N28" s="45"/>
      <c r="O28" s="45"/>
      <c r="P28" s="45"/>
      <c r="Q28" s="45"/>
      <c r="R28" s="45"/>
      <c r="S28" s="45"/>
      <c r="T28" s="45"/>
      <c r="U28" s="24"/>
      <c r="V28" s="24"/>
      <c r="W28" s="24"/>
    </row>
    <row r="29" spans="1:23" ht="17" thickBot="1">
      <c r="A29" s="46" t="s">
        <v>128</v>
      </c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</row>
    <row r="30" spans="1:23" ht="15" customHeight="1" thickBot="1">
      <c r="A30" s="46"/>
      <c r="B30" t="s">
        <v>129</v>
      </c>
      <c r="C30" s="21" t="s">
        <v>8</v>
      </c>
      <c r="I30" s="47" t="s">
        <v>130</v>
      </c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8" t="s">
        <v>131</v>
      </c>
      <c r="U30" s="48"/>
      <c r="V30" s="48"/>
      <c r="W30" s="48"/>
    </row>
    <row r="31" spans="1:23" ht="15" customHeight="1" thickBot="1">
      <c r="A31" s="46"/>
      <c r="B31" t="s">
        <v>132</v>
      </c>
      <c r="C31" s="21" t="s">
        <v>17</v>
      </c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9">
        <f>-0.326+T19*0.234+T20*0.436+T21*0.585</f>
        <v>0.84179999999999999</v>
      </c>
      <c r="U31" s="49"/>
      <c r="V31" s="49"/>
      <c r="W31" s="49"/>
    </row>
    <row r="32" spans="1:23" ht="16">
      <c r="A32" s="46"/>
      <c r="B32" t="s">
        <v>133</v>
      </c>
      <c r="C32" s="21" t="s">
        <v>26</v>
      </c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</row>
    <row r="33" spans="1:23" ht="16">
      <c r="A33" s="46"/>
      <c r="C33" s="14"/>
      <c r="I33" s="50" t="s">
        <v>134</v>
      </c>
      <c r="J33" s="50"/>
      <c r="K33" s="50"/>
      <c r="L33" s="50"/>
      <c r="M33" s="50"/>
      <c r="N33" s="50"/>
      <c r="O33" s="50"/>
      <c r="P33" s="50"/>
      <c r="Q33" s="50"/>
      <c r="R33" s="24"/>
      <c r="S33" s="24"/>
      <c r="T33" s="24"/>
      <c r="U33" s="24"/>
      <c r="V33" s="24"/>
      <c r="W33" s="24"/>
    </row>
    <row r="34" spans="1:23" ht="16">
      <c r="A34" s="46"/>
      <c r="B34" t="s">
        <v>135</v>
      </c>
      <c r="C34" s="3" t="s">
        <v>46</v>
      </c>
      <c r="I34" s="50"/>
      <c r="J34" s="50"/>
      <c r="K34" s="50"/>
      <c r="L34" s="50"/>
      <c r="M34" s="50"/>
      <c r="N34" s="50"/>
      <c r="O34" s="50"/>
      <c r="P34" s="50"/>
      <c r="Q34" s="50"/>
      <c r="R34" s="24"/>
      <c r="S34" s="24"/>
      <c r="T34" s="24"/>
      <c r="U34" s="24"/>
      <c r="V34" s="24"/>
      <c r="W34" s="24"/>
    </row>
  </sheetData>
  <mergeCells count="26">
    <mergeCell ref="U24:W24"/>
    <mergeCell ref="U25:W25"/>
    <mergeCell ref="I27:T28"/>
    <mergeCell ref="A29:A34"/>
    <mergeCell ref="I30:S31"/>
    <mergeCell ref="T30:W30"/>
    <mergeCell ref="T31:W31"/>
    <mergeCell ref="I33:Q34"/>
    <mergeCell ref="A20:A28"/>
    <mergeCell ref="J20:K20"/>
    <mergeCell ref="N20:S20"/>
    <mergeCell ref="J21:K21"/>
    <mergeCell ref="N21:S21"/>
    <mergeCell ref="I24:T25"/>
    <mergeCell ref="A12:A18"/>
    <mergeCell ref="I17:M17"/>
    <mergeCell ref="I18:K18"/>
    <mergeCell ref="M18:T18"/>
    <mergeCell ref="J19:K19"/>
    <mergeCell ref="N19:S19"/>
    <mergeCell ref="A1:L1"/>
    <mergeCell ref="N1:O1"/>
    <mergeCell ref="Q1:R1"/>
    <mergeCell ref="T1:U1"/>
    <mergeCell ref="W1:X1"/>
    <mergeCell ref="A2:A10"/>
  </mergeCells>
  <pageMargins left="0.70000000000000007" right="0.70000000000000007" top="0.75" bottom="0.75" header="0.30000000000000004" footer="0.3000000000000000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2:F7"/>
  <sheetViews>
    <sheetView workbookViewId="0"/>
  </sheetViews>
  <sheetFormatPr baseColWidth="10" defaultColWidth="10.6640625" defaultRowHeight="15"/>
  <cols>
    <col min="1" max="1" width="10.6640625" customWidth="1"/>
    <col min="2" max="2" width="15" bestFit="1" customWidth="1"/>
    <col min="3" max="3" width="17.6640625" customWidth="1"/>
    <col min="4" max="4" width="16.5" customWidth="1"/>
    <col min="5" max="5" width="13.6640625" customWidth="1"/>
    <col min="6" max="6" width="30.5" customWidth="1"/>
    <col min="7" max="7" width="10.6640625" customWidth="1"/>
  </cols>
  <sheetData>
    <row r="2" spans="3:6">
      <c r="C2" s="21" t="s">
        <v>136</v>
      </c>
      <c r="D2" s="21" t="s">
        <v>137</v>
      </c>
      <c r="F2" t="s">
        <v>138</v>
      </c>
    </row>
    <row r="3" spans="3:6">
      <c r="C3" s="21">
        <v>0.75</v>
      </c>
      <c r="D3" s="21">
        <v>0.74</v>
      </c>
      <c r="F3" t="s">
        <v>139</v>
      </c>
    </row>
    <row r="4" spans="3:6">
      <c r="C4" s="21">
        <v>0.69</v>
      </c>
      <c r="D4" s="21">
        <v>0.76</v>
      </c>
      <c r="F4" t="s">
        <v>140</v>
      </c>
    </row>
    <row r="5" spans="3:6">
      <c r="C5" s="21">
        <v>0.73</v>
      </c>
      <c r="D5" s="21">
        <v>0.8</v>
      </c>
      <c r="F5" t="s">
        <v>141</v>
      </c>
    </row>
    <row r="6" spans="3:6">
      <c r="C6" s="51">
        <v>0.93</v>
      </c>
      <c r="D6" s="51">
        <v>0.84</v>
      </c>
      <c r="E6" s="52"/>
    </row>
    <row r="7" spans="3:6">
      <c r="C7" s="21">
        <v>0.93</v>
      </c>
      <c r="D7" s="21">
        <v>0.88</v>
      </c>
    </row>
  </sheetData>
  <pageMargins left="0.70000000000000007" right="0.70000000000000007" top="0.75" bottom="0.75" header="0.30000000000000004" footer="0.30000000000000004"/>
  <pageSetup paperSize="0" fitToWidth="0" fitToHeight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Benannte Bereiche</vt:lpstr>
      </vt:variant>
      <vt:variant>
        <vt:i4>1</vt:i4>
      </vt:variant>
    </vt:vector>
  </HeadingPairs>
  <TitlesOfParts>
    <vt:vector size="4" baseType="lpstr">
      <vt:lpstr>Logistics_Engineer</vt:lpstr>
      <vt:lpstr>Logistics_Check</vt:lpstr>
      <vt:lpstr>Graph</vt:lpstr>
      <vt:lpstr>Logistics_Engineer!Druckbereich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Microsoft Office-Benutzer</cp:lastModifiedBy>
  <cp:lastPrinted>2017-02-17T00:39:13Z</cp:lastPrinted>
  <dcterms:created xsi:type="dcterms:W3CDTF">2017-02-13T15:17:08Z</dcterms:created>
  <dcterms:modified xsi:type="dcterms:W3CDTF">2018-03-19T19:41:16Z</dcterms:modified>
</cp:coreProperties>
</file>